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ew" state="visible" r:id="rId4"/>
    <sheet sheetId="2" name="Guidance" state="visible" r:id="rId5"/>
    <sheet sheetId="3" name="Summary" state="visible" r:id="rId6"/>
  </sheets>
  <calcPr calcId="171027" fullCalcOnLoad="1"/>
</workbook>
</file>

<file path=xl/sharedStrings.xml><?xml version="1.0" encoding="utf-8"?>
<sst xmlns="http://schemas.openxmlformats.org/spreadsheetml/2006/main" count="2310" uniqueCount="742">
  <si>
    <t>Scope &amp; automation review — human decision worksheet (203 test cases)</t>
  </si>
  <si>
    <t>Fill ONLY the yellow MY_ columns (H, I, L, M). Pick Yes/No from the dropdown. Write a reason whenever you pick No (an orange cell means a reason is missing). Red = your answer differs from the AI suggestion. Purple = out of scope but marked for automation. Agreed? fills in once both of your Yes/No cells are set. Decision criteria and a filled-in example row: see the Guidance sheet. The AI_ columns are copied from test_design.csv, which this workbook does not change.</t>
  </si>
  <si>
    <t>Test case</t>
  </si>
  <si>
    <t>AI suggestion — scope</t>
  </si>
  <si>
    <t>YOUR decision — scope</t>
  </si>
  <si>
    <t>AI suggestion — automation</t>
  </si>
  <si>
    <t>YOUR decision — automation</t>
  </si>
  <si>
    <t>Check</t>
  </si>
  <si>
    <t>TC_ID</t>
  </si>
  <si>
    <t>Sub_Module</t>
  </si>
  <si>
    <t>Title</t>
  </si>
  <si>
    <t>Type</t>
  </si>
  <si>
    <t>Priority</t>
  </si>
  <si>
    <t>AI_suggested_valid_in_scope</t>
  </si>
  <si>
    <t>AI_reason</t>
  </si>
  <si>
    <t>MY_valid_in_scope</t>
  </si>
  <si>
    <t>MY_scope_reason</t>
  </si>
  <si>
    <t>AI_suggested_needs_automation</t>
  </si>
  <si>
    <t>MY_needs_automation</t>
  </si>
  <si>
    <t>MY_automation_reason</t>
  </si>
  <si>
    <t>Agreed?</t>
  </si>
  <si>
    <t>TC_ADM_NAV_001</t>
  </si>
  <si>
    <t>Login</t>
  </si>
  <si>
    <t>Successful login routes to Dashboard</t>
  </si>
  <si>
    <t>Functional</t>
  </si>
  <si>
    <t>P0</t>
  </si>
  <si>
    <t>Yes</t>
  </si>
  <si>
    <t/>
  </si>
  <si>
    <t>TC_ADM_NAV_002</t>
  </si>
  <si>
    <t>Invalid credentials rejected without leaking which field is wrong (Admin/wrongPass)</t>
  </si>
  <si>
    <t>Negative</t>
  </si>
  <si>
    <t>TC_ADM_NAV_003</t>
  </si>
  <si>
    <t>Invalid credentials rejected without leaking which field is wrong (ghost/admin123)</t>
  </si>
  <si>
    <t>Parameter variant of TC_ADM_NAV_002: credentials ghost/admin123. Same page object/component; implemented as an added test in tests/admin/nav.spec.ts, not new code. (Promoted W2 -&gt; W1: test_design_coverage.md §8 rule — every P0 case is Wave 1.)</t>
  </si>
  <si>
    <t>TC_ADM_NAV_004</t>
  </si>
  <si>
    <t>Invalid credentials rejected without leaking which field is wrong (ADMIN/admin123) — KNOWN DEFECT: BUG-003</t>
  </si>
  <si>
    <t>Known-defect guard for BUG-003 (case-insensitive username login) — same page object as TC_ADM_NAV_002, asserting the opposite (actual) outcome. Implemented in tests/admin/nav.spec.ts. (Promoted W2 -&gt; W1: test_design_coverage.md §8 rule — every P0 case is Wave 1.)</t>
  </si>
  <si>
    <t>TC_ADM_NAV_005</t>
  </si>
  <si>
    <t>Required-field validation — Username left empty</t>
  </si>
  <si>
    <t>Validation</t>
  </si>
  <si>
    <t>P1</t>
  </si>
  <si>
    <t>TC_ADM_NAV_006</t>
  </si>
  <si>
    <t>Required-field validation — Password left empty</t>
  </si>
  <si>
    <t>Wave 2 — parameter variant of TC_ADM_NAV_005: Password field left empty. Same page object/component; implement as an added data row, not new code.</t>
  </si>
  <si>
    <t>TC_ADM_NAV_007</t>
  </si>
  <si>
    <t>Deep link while unauthenticated redirects to login</t>
  </si>
  <si>
    <t>TC_ADM_NAV_008</t>
  </si>
  <si>
    <t>Admin sidebar</t>
  </si>
  <si>
    <t>Admin top-tab "User Management" navigates to "System Users"</t>
  </si>
  <si>
    <t>Navigation</t>
  </si>
  <si>
    <t>P2</t>
  </si>
  <si>
    <t>TC_ADM_NAV_009</t>
  </si>
  <si>
    <t>Admin top-tab "Job" navigates to "Job Titles"</t>
  </si>
  <si>
    <t>Wave 2 — parameter variant of TC_ADM_NAV_008: Job tab -&gt; Job Titles. Same page object/component; implement as an added data row, not new code.</t>
  </si>
  <si>
    <t>TC_ADM_NAV_010</t>
  </si>
  <si>
    <t>Admin top-tab "Organization" navigates to "General Information"</t>
  </si>
  <si>
    <t>Wave 2 — parameter variant of TC_ADM_NAV_008: Organization tab -&gt; General Information. Same page object/component; implement as an added data row, not new code.</t>
  </si>
  <si>
    <t>TC_ADM_NAV_011</t>
  </si>
  <si>
    <t>Admin top-tab "Qualifications" navigates to "Skills"</t>
  </si>
  <si>
    <t>Wave 2 — parameter variant of TC_ADM_NAV_008: Qualifications tab -&gt; Skills. Same page object/component; implement as an added data row, not new code.</t>
  </si>
  <si>
    <t>TC_ADM_NAV_012</t>
  </si>
  <si>
    <t>Admin top-tab "Nationalities" navigates to "Nationalities"</t>
  </si>
  <si>
    <t>Wave 2 — parameter variant of TC_ADM_NAV_008: Nationalities tab -&gt; Nationalities. Same page object/component; implement as an added data row, not new code.</t>
  </si>
  <si>
    <t>TC_ADM_NAV_013</t>
  </si>
  <si>
    <t>Admin top-tab "Corporate Branding" navigates to "Corporate Branding"</t>
  </si>
  <si>
    <t>Wave 2 — parameter variant of TC_ADM_NAV_008: Corporate Branding tab -&gt; Corporate Branding. Same page object/component; implement as an added data row, not new code.</t>
  </si>
  <si>
    <t>TC_ADM_NAV_014</t>
  </si>
  <si>
    <t>Admin top-tab "Configuration" navigates to "Email Configuration"</t>
  </si>
  <si>
    <t>Wave 2 — parameter variant of TC_ADM_NAV_008: Configuration tab -&gt; Email Configuration. Same page object/component; implement as an added data row, not new code.</t>
  </si>
  <si>
    <t>TC_ADM_NAV_015</t>
  </si>
  <si>
    <t>Session</t>
  </si>
  <si>
    <t>Logout invalidates the session</t>
  </si>
  <si>
    <t>TC_ADM_NAV_016</t>
  </si>
  <si>
    <t>Back-navigation after logout does not expose authenticated screens</t>
  </si>
  <si>
    <t>TC_ADM_USR_001</t>
  </si>
  <si>
    <t>User Management &gt; Users</t>
  </si>
  <si>
    <t>Add a valid ESS user</t>
  </si>
  <si>
    <t>TC_ADM_USR_002</t>
  </si>
  <si>
    <t>Username uniqueness is enforced</t>
  </si>
  <si>
    <t>TC_ADM_USR_003</t>
  </si>
  <si>
    <t>Mandatory field blocks submission — User Role empty</t>
  </si>
  <si>
    <t>TC_ADM_USR_004</t>
  </si>
  <si>
    <t>Mandatory field blocks submission — Employee Name empty</t>
  </si>
  <si>
    <t>Wave 2 — parameter variant of TC_ADM_USR_003: Employee Name left empty. Same page object/component; implement as an added data row, not new code.</t>
  </si>
  <si>
    <t>TC_ADM_USR_005</t>
  </si>
  <si>
    <t>Mandatory field blocks submission — Status empty</t>
  </si>
  <si>
    <t>Parameter variant of TC_ADM_USR_003: Status left empty. Same page object/component (submitAddFormWithEmptyField, already typed for this field); implemented as an added test in tests/admin/usr.spec.ts, not new code. (Promoted W2 -&gt; W1: test_design_coverage.md §8 rule — every P0 case is Wave 1.)</t>
  </si>
  <si>
    <t>TC_ADM_USR_006</t>
  </si>
  <si>
    <t>Mandatory field blocks submission — Username empty</t>
  </si>
  <si>
    <t>Parameter variant of TC_ADM_USR_003: Username left empty. Same page object/component (submitAddFormWithEmptyField, already typed for this field); implemented as an added test in tests/admin/usr.spec.ts, not new code. (Promoted W2 -&gt; W1: test_design_coverage.md §8 rule — every P0 case is Wave 1.)</t>
  </si>
  <si>
    <t>TC_ADM_USR_007</t>
  </si>
  <si>
    <t>Mandatory field blocks submission — Password empty</t>
  </si>
  <si>
    <t>Parameter variant of TC_ADM_USR_003: Password left empty. Same page object/component (submitAddFormWithEmptyField, already typed for this field); implemented as an added test in tests/admin/usr.spec.ts, not new code. (Promoted W2 -&gt; W1: test_design_coverage.md §8 rule — every P0 case is Wave 1.)</t>
  </si>
  <si>
    <t>TC_ADM_USR_008</t>
  </si>
  <si>
    <t>Employee Name must be chosen from the hint list</t>
  </si>
  <si>
    <t>Wave 2 — reuses TC_ADM_USR_001's Employee Name autocomplete helper; adds the "no suggestion selected" negative assertion. Not a pure data variant.</t>
  </si>
  <si>
    <t>TC_ADM_USR_009</t>
  </si>
  <si>
    <t>Password policy feedback for "abc"</t>
  </si>
  <si>
    <t>Boundary</t>
  </si>
  <si>
    <t>TC_ADM_USR_010</t>
  </si>
  <si>
    <t>Password policy feedback for "Password"</t>
  </si>
  <si>
    <t>Wave 2 — parameter variant of TC_ADM_USR_009: password "Password". Same page object/component; implement as an added data row, not new code.</t>
  </si>
  <si>
    <t>TC_ADM_USR_011</t>
  </si>
  <si>
    <t>No upper-case requirement exists on this build</t>
  </si>
  <si>
    <t>Regression</t>
  </si>
  <si>
    <t>Wave 2 — parameter variant of TC_ADM_USR_009: password "alllowercase1" (no-uppercase-required regression). Same page object/component; implement as an added data row, not new code.</t>
  </si>
  <si>
    <t>TC_ADM_USR_012</t>
  </si>
  <si>
    <t>Confirm Password mismatch is rejected</t>
  </si>
  <si>
    <t>Wave 2 — reuses TC_ADM_USR_003's Add User form fixture; adds the Confirm-Password-mismatch assertion. Not a pure data variant.</t>
  </si>
  <si>
    <t>TC_ADM_USR_013</t>
  </si>
  <si>
    <t>Search filter "Username" = "Admin" returns a consistent result set</t>
  </si>
  <si>
    <t>TC_ADM_USR_014</t>
  </si>
  <si>
    <t>Search filter "User Role" = "ESS" returns a consistent result set</t>
  </si>
  <si>
    <t>Wave 2 — parameter variant of TC_ADM_USR_013: User Role = ESS filter. Same page object/component; implement as an added data row, not new code.</t>
  </si>
  <si>
    <t>TC_ADM_USR_015</t>
  </si>
  <si>
    <t>Search filter "Status" = "Enabled" returns a consistent result set</t>
  </si>
  <si>
    <t>Wave 2 — parameter variant of TC_ADM_USR_013: Status = Enabled filter. Same page object/component; implement as an added data row, not new code.</t>
  </si>
  <si>
    <t>TC_ADM_USR_016</t>
  </si>
  <si>
    <t>Search with no match shows the empty state</t>
  </si>
  <si>
    <t>Wave 2 — reuses TC_ADM_USR_013's search interaction; asserts the empty state instead of a filter match. Not a pure data variant.</t>
  </si>
  <si>
    <t>TC_ADM_USR_017</t>
  </si>
  <si>
    <t>Reset clears all filters</t>
  </si>
  <si>
    <t>Wave 2 — reuses TC_ADM_USR_013's search fixture; adds the Reset-clears-filters assertion. Not a pure data variant.</t>
  </si>
  <si>
    <t>TC_ADM_USR_018</t>
  </si>
  <si>
    <t>Edit a system user's role</t>
  </si>
  <si>
    <t>TC_ADM_USR_019</t>
  </si>
  <si>
    <t>Password is optional on edit</t>
  </si>
  <si>
    <t>UI/UX</t>
  </si>
  <si>
    <t>Wave 2 — reuses TC_ADM_USR_018's edit-flow fixture; adds the password-fields-hidden-until-toggled assertion. Not a pure data variant.</t>
  </si>
  <si>
    <t>TC_ADM_USR_020</t>
  </si>
  <si>
    <t>Delete a single user with confirmation</t>
  </si>
  <si>
    <t>TC_ADM_USR_021</t>
  </si>
  <si>
    <t>Cancelling the delete dialog preserves the record</t>
  </si>
  <si>
    <t>Wave 2 — parameter variant of TC_ADM_USR_020: "No, Cancel" instead of "Yes, Delete" on the same dialog. Same page object/component; implement as an added data row, not new code.</t>
  </si>
  <si>
    <t>TC_ADM_USR_022</t>
  </si>
  <si>
    <t>Bulk delete via header checkbox</t>
  </si>
  <si>
    <t>TC_ADM_USR_023</t>
  </si>
  <si>
    <t>Pagination integrity on the Users list</t>
  </si>
  <si>
    <t>No</t>
  </si>
  <si>
    <t>Exploration.md §2.1 recorded that every observation window on this screen showed ≤11 records — well under one page — and creating 50+ owned e2e_ users to force pagination would violate the self-contained/minimal-footprint spirit of Constitution Article VI. Pagination (BR-07) is instead exercised on Nationalities (see TC_ADM_NAT), the only Admin screen with enough records (exploration.md §2.1, §2.5).</t>
  </si>
  <si>
    <t>Not applicable — case is out of scope on this screen; see scope_reason. Coverage is provided by TC_ADM_NAT_010.</t>
  </si>
  <si>
    <t>TC_ADM_USR_024</t>
  </si>
  <si>
    <t>Row action icons are ordered delete-then-edit (FIND-004 regression guard)</t>
  </si>
  <si>
    <t>TC_ADM_JOB_001</t>
  </si>
  <si>
    <t>Job Titles</t>
  </si>
  <si>
    <t>Create a Job Titles record</t>
  </si>
  <si>
    <t>TC_ADM_JOB_002</t>
  </si>
  <si>
    <t>Mandatory validation — Job Title empty</t>
  </si>
  <si>
    <t>TC_ADM_JOB_003</t>
  </si>
  <si>
    <t>Duplicate Job Title is rejected</t>
  </si>
  <si>
    <t>Duplicate rejection was not directly exercised on this screen in M2 (exploration.md §2.2 only exercised a create/delete cycle on Job Titles, not duplicate rejection); the exact "Already exists" wording is assumed by analogy, not verbatim-confirmed here. Confirm during M4 before automating.</t>
  </si>
  <si>
    <t>TC_ADM_JOB_004</t>
  </si>
  <si>
    <t>Job Title boundary length (51 characters)</t>
  </si>
  <si>
    <t>The 51-character boundary (truncation vs. an explicit length error) was not exercised on any screen during M2 (exploration.md §2); Constitution Article V.3 forbids hard-coding an assumed expected result for a scenario that has not been exploration-verified. Resolve during M4 manual execution, then re-classify for M5.</t>
  </si>
  <si>
    <t>TC_ADM_JOB_005</t>
  </si>
  <si>
    <t>Job Title invalid format</t>
  </si>
  <si>
    <t>P3</t>
  </si>
  <si>
    <t>Field is free-form text with no format constraint distinct from its mandatory/length rules on this build; no separate format-specific validation was observed for this field during M2 (exploration.md §2), and none is applicable beyond the mandatory/duplicate/boundary cases already covered.</t>
  </si>
  <si>
    <t>Not applicable — case is out of scope; see scope_reason.</t>
  </si>
  <si>
    <t>TC_ADM_JOB_006</t>
  </si>
  <si>
    <t>Edit an existing Job Titles record</t>
  </si>
  <si>
    <t>TC_ADM_JOB_007</t>
  </si>
  <si>
    <t>Cancel discards changes on Job Titles</t>
  </si>
  <si>
    <t>TC_ADM_JOB_008</t>
  </si>
  <si>
    <t>Delete a Job Titles record with confirmation</t>
  </si>
  <si>
    <t>TC_ADM_JOB_009</t>
  </si>
  <si>
    <t>Cancelling delete preserves the Job Titles record</t>
  </si>
  <si>
    <t>TC_ADM_JOB_010</t>
  </si>
  <si>
    <t>Attach a Job Specification file within the 1MB limit</t>
  </si>
  <si>
    <t>File-upload happy path on Job Titles was not exercised during M2 (exploration.md §9: "file-upload happy path was not exercised here ... should get its own pass in M3"); only Corporate Branding's upload validation was stress-tested.</t>
  </si>
  <si>
    <t>TC_ADM_JOB_011</t>
  </si>
  <si>
    <t>Attach an unsupported file type to Job Specification</t>
  </si>
  <si>
    <t>Not exercised on Job Titles during M2. Note for M4: Corporate Branding's equivalent unsupported-type case surfaced a misleading "Attachment Size Exceeded" message (BUG-002) from a shared image-decode code path — Job Titles' Job Specification may or may not share that component; confirm independently, do not assume BUG-002 applies here.</t>
  </si>
  <si>
    <t>TC_ADM_JOB_012</t>
  </si>
  <si>
    <t>Replace an existing Job Specification attachment</t>
  </si>
  <si>
    <t>Not exercised during M2 (exploration.md §9).</t>
  </si>
  <si>
    <t>TC_ADM_JOB_013</t>
  </si>
  <si>
    <t>Delete an existing Job Specification attachment</t>
  </si>
  <si>
    <t>TC_ADM_JOB_014</t>
  </si>
  <si>
    <t>Pay Grades</t>
  </si>
  <si>
    <t>Create a Pay Grades record</t>
  </si>
  <si>
    <t>Wave 2 — parameter variant of TC_ADM_JOB_001: create, data-driven for Pay Grades. Same page object/component; implement as an added data row, not new code.</t>
  </si>
  <si>
    <t>TC_ADM_JOB_015</t>
  </si>
  <si>
    <t>Mandatory validation — Name empty</t>
  </si>
  <si>
    <t>Wave 2 — parameter variant of TC_ADM_JOB_002: mandatory validation, data-driven for Pay Grades. Same page object/component; implement as an added data row, not new code.</t>
  </si>
  <si>
    <t>TC_ADM_JOB_016</t>
  </si>
  <si>
    <t>Duplicate Name is rejected</t>
  </si>
  <si>
    <t>Duplicate rejection was not directly exercised on this screen in M2 (exploration.md §2.2 only exercised the nested Currency Min/Max boundary on Pay Grades, not top-level Name duplication); the exact "Already exists" wording is assumed by analogy, not verbatim-confirmed here. Confirm during M4 before automating.</t>
  </si>
  <si>
    <t>TC_ADM_JOB_017</t>
  </si>
  <si>
    <t>Name boundary length (51 characters)</t>
  </si>
  <si>
    <t>TC_ADM_JOB_018</t>
  </si>
  <si>
    <t>Name invalid format</t>
  </si>
  <si>
    <t>TC_ADM_JOB_019</t>
  </si>
  <si>
    <t>Edit an existing Pay Grades record</t>
  </si>
  <si>
    <t>Wave 2 — parameter variant of TC_ADM_JOB_006: edit, data-driven for Pay Grades. Same page object/component; implement as an added data row, not new code.</t>
  </si>
  <si>
    <t>TC_ADM_JOB_020</t>
  </si>
  <si>
    <t>Cancel discards changes on Pay Grades</t>
  </si>
  <si>
    <t>Wave 2 — parameter variant of TC_ADM_JOB_007: cancel, data-driven for Pay Grades. Same page object/component; implement as an added data row, not new code.</t>
  </si>
  <si>
    <t>TC_ADM_JOB_021</t>
  </si>
  <si>
    <t>Delete a Pay Grades record with confirmation</t>
  </si>
  <si>
    <t>Wave 2 — parameter variant of TC_ADM_JOB_008: delete-confirm, data-driven for Pay Grades. Same page object/component; implement as an added data row, not new code.</t>
  </si>
  <si>
    <t>TC_ADM_JOB_022</t>
  </si>
  <si>
    <t>Cancelling delete preserves the Pay Grades record</t>
  </si>
  <si>
    <t>Wave 2 — parameter variant of TC_ADM_JOB_009: delete-cancel, data-driven for Pay Grades. Same page object/component; implement as an added data row, not new code.</t>
  </si>
  <si>
    <t>TC_ADM_JOB_023</t>
  </si>
  <si>
    <t>Currency Minimum Salary must not exceed Maximum Salary</t>
  </si>
  <si>
    <t>TC_ADM_JOB_024</t>
  </si>
  <si>
    <t>Duplicate currency on the same Pay Grade is rejected</t>
  </si>
  <si>
    <t>Duplicate-currency rejection was described in prd.md/spec.md but not directly exercised during M2 (exploration.md §2.2 only tested the Min/Max boundary).</t>
  </si>
  <si>
    <t>TC_ADM_JOB_025</t>
  </si>
  <si>
    <t>Currency dropdown resolves by exact text among ~150 options</t>
  </si>
  <si>
    <t>Wave 2 — reuses TC_ADM_JOB_023's Currency sub-form component; adds the ~150-option exact-text dropdown-match check instead of the Min/Max boundary. Not a pure data variant.</t>
  </si>
  <si>
    <t>TC_ADM_JOB_026</t>
  </si>
  <si>
    <t>Employment Status</t>
  </si>
  <si>
    <t>Create a Employment Status record</t>
  </si>
  <si>
    <t>Wave 2 — parameter variant of TC_ADM_JOB_001: create, data-driven for Employment Status. Same page object/component; implement as an added data row, not new code.</t>
  </si>
  <si>
    <t>TC_ADM_JOB_027</t>
  </si>
  <si>
    <t>Mandatory validation — Employment Status empty</t>
  </si>
  <si>
    <t>Wave 2 — parameter variant of TC_ADM_JOB_002: mandatory validation, data-driven for Employment Status. Same page object/component; implement as an added data row, not new code.</t>
  </si>
  <si>
    <t>TC_ADM_JOB_028</t>
  </si>
  <si>
    <t>Duplicate Employment Status is rejected</t>
  </si>
  <si>
    <t>Duplicate rejection was not directly exercised on this screen in M2 (exploration.md §2.2 — Employment Status was a confirmatory pass only, no mutation performed); the exact "Already exists" wording is assumed by analogy, not verbatim-confirmed here. Confirm during M4 before automating.</t>
  </si>
  <si>
    <t>TC_ADM_JOB_029</t>
  </si>
  <si>
    <t>Employment Status boundary length (51 characters)</t>
  </si>
  <si>
    <t>TC_ADM_JOB_030</t>
  </si>
  <si>
    <t>Employment Status invalid format</t>
  </si>
  <si>
    <t>TC_ADM_JOB_031</t>
  </si>
  <si>
    <t>Edit an existing Employment Status record</t>
  </si>
  <si>
    <t>Wave 2 — parameter variant of TC_ADM_JOB_006: edit, data-driven for Employment Status. Same page object/component; implement as an added data row, not new code.</t>
  </si>
  <si>
    <t>TC_ADM_JOB_032</t>
  </si>
  <si>
    <t>Cancel discards changes on Employment Status</t>
  </si>
  <si>
    <t>Wave 2 — parameter variant of TC_ADM_JOB_007: cancel, data-driven for Employment Status. Same page object/component; implement as an added data row, not new code.</t>
  </si>
  <si>
    <t>TC_ADM_JOB_033</t>
  </si>
  <si>
    <t>Delete a Employment Status record with confirmation</t>
  </si>
  <si>
    <t>Wave 2 — parameter variant of TC_ADM_JOB_008: delete-confirm, data-driven for Employment Status. Same page object/component; implement as an added data row, not new code.</t>
  </si>
  <si>
    <t>TC_ADM_JOB_034</t>
  </si>
  <si>
    <t>Cancelling delete preserves the Employment Status record</t>
  </si>
  <si>
    <t>Wave 2 — parameter variant of TC_ADM_JOB_009: delete-cancel, data-driven for Employment Status. Same page object/component; implement as an added data row, not new code.</t>
  </si>
  <si>
    <t>TC_ADM_JOB_035</t>
  </si>
  <si>
    <t>New Employment Status becomes selectable in PIM Job tab</t>
  </si>
  <si>
    <t>This cross-module (PIM) check was not exercised during M2, which walked Admin screens only (exploration.md §2). Confirm during M4 before automating; it remains UI-only and in scope per spec.md US-02-03.</t>
  </si>
  <si>
    <t>TC_ADM_JOB_036</t>
  </si>
  <si>
    <t>Job Categories</t>
  </si>
  <si>
    <t>Create a Job Categories record</t>
  </si>
  <si>
    <t>Wave 2 — parameter variant of TC_ADM_JOB_001: create, data-driven for Job Categories. Same page object/component; implement as an added data row, not new code.</t>
  </si>
  <si>
    <t>TC_ADM_JOB_037</t>
  </si>
  <si>
    <t>Mandatory validation — Job Category empty</t>
  </si>
  <si>
    <t>Wave 2 — parameter variant of TC_ADM_JOB_002: mandatory validation, data-driven for Job Categories. Same page object/component; implement as an added data row, not new code.</t>
  </si>
  <si>
    <t>TC_ADM_JOB_038</t>
  </si>
  <si>
    <t>Duplicate Job Category is rejected</t>
  </si>
  <si>
    <t>Duplicate rejection was not directly exercised on this screen in M2 (exploration.md §2.2 — Job Categories was a confirmatory pass only, no mutation performed); the exact "Already exists" wording is assumed by analogy, not verbatim-confirmed here. Confirm during M4 before automating.</t>
  </si>
  <si>
    <t>TC_ADM_JOB_039</t>
  </si>
  <si>
    <t>Job Category boundary length (51 characters)</t>
  </si>
  <si>
    <t>TC_ADM_JOB_040</t>
  </si>
  <si>
    <t>Job Category invalid format</t>
  </si>
  <si>
    <t>TC_ADM_JOB_041</t>
  </si>
  <si>
    <t>Edit an existing Job Categories record</t>
  </si>
  <si>
    <t>Wave 2 — parameter variant of TC_ADM_JOB_006: edit, data-driven for Job Categories. Same page object/component; implement as an added data row, not new code.</t>
  </si>
  <si>
    <t>TC_ADM_JOB_042</t>
  </si>
  <si>
    <t>Cancel discards changes on Job Categories</t>
  </si>
  <si>
    <t>Wave 2 — parameter variant of TC_ADM_JOB_007: cancel, data-driven for Job Categories. Same page object/component; implement as an added data row, not new code.</t>
  </si>
  <si>
    <t>TC_ADM_JOB_043</t>
  </si>
  <si>
    <t>Delete a Job Categories record with confirmation</t>
  </si>
  <si>
    <t>Wave 2 — parameter variant of TC_ADM_JOB_008: delete-confirm, data-driven for Job Categories. Same page object/component; implement as an added data row, not new code.</t>
  </si>
  <si>
    <t>TC_ADM_JOB_044</t>
  </si>
  <si>
    <t>Cancelling delete preserves the Job Categories record</t>
  </si>
  <si>
    <t>Wave 2 — parameter variant of TC_ADM_JOB_009: delete-cancel, data-driven for Job Categories. Same page object/component; implement as an added data row, not new code.</t>
  </si>
  <si>
    <t>TC_ADM_JOB_045</t>
  </si>
  <si>
    <t>Work Shifts</t>
  </si>
  <si>
    <t>Create a Work Shifts record</t>
  </si>
  <si>
    <t>Wave 2 — parameter variant of TC_ADM_JOB_001: create, data-driven for Work Shifts. Same page object/component; implement as an added data row, not new code.</t>
  </si>
  <si>
    <t>TC_ADM_JOB_046</t>
  </si>
  <si>
    <t>Mandatory validation — Shift Name empty</t>
  </si>
  <si>
    <t>Wave 2 — parameter variant of TC_ADM_JOB_002: mandatory validation, data-driven for Work Shifts. Same page object/component; implement as an added data row, not new code.</t>
  </si>
  <si>
    <t>TC_ADM_JOB_047</t>
  </si>
  <si>
    <t>Duplicate Shift Name is rejected</t>
  </si>
  <si>
    <t>Duplicate rejection was not directly exercised on this screen in M2 (exploration.md §2.2, FLAKE-004 — the duplicate-name-uniqueness check attempt ended in an unreproduced HTTP 500 and session expiry before the rejection message could be captured verbatim); the exact "Already exists" wording is assumed by analogy, not verbatim-confirmed here. Confirm during M4 before automating.</t>
  </si>
  <si>
    <t>TC_ADM_JOB_048</t>
  </si>
  <si>
    <t>Shift Name boundary length (51 characters)</t>
  </si>
  <si>
    <t>TC_ADM_JOB_049</t>
  </si>
  <si>
    <t>Overnight Work Shift time ordering is rejected</t>
  </si>
  <si>
    <t>TC_ADM_JOB_050</t>
  </si>
  <si>
    <t>Edit an existing Work Shifts record</t>
  </si>
  <si>
    <t>Wave 2 — parameter variant of TC_ADM_JOB_006: edit, data-driven for Work Shifts. Same page object/component; implement as an added data row, not new code.</t>
  </si>
  <si>
    <t>TC_ADM_JOB_051</t>
  </si>
  <si>
    <t>Cancel discards changes on Work Shifts</t>
  </si>
  <si>
    <t>Wave 2 — parameter variant of TC_ADM_JOB_007: cancel, data-driven for Work Shifts. Same page object/component; implement as an added data row, not new code.</t>
  </si>
  <si>
    <t>TC_ADM_JOB_052</t>
  </si>
  <si>
    <t>Delete a Work Shifts record with confirmation</t>
  </si>
  <si>
    <t>Wave 2 — parameter variant of TC_ADM_JOB_008: delete-confirm, data-driven for Work Shifts. Same page object/component; implement as an added data row, not new code.</t>
  </si>
  <si>
    <t>TC_ADM_JOB_053</t>
  </si>
  <si>
    <t>Cancelling delete preserves the Work Shifts record</t>
  </si>
  <si>
    <t>Wave 2 — parameter variant of TC_ADM_JOB_009: delete-cancel, data-driven for Work Shifts. Same page object/component; implement as an added data row, not new code.</t>
  </si>
  <si>
    <t>TC_ADM_JOB_054</t>
  </si>
  <si>
    <t>Duplicate employee assignment to the same Work Shift is rejected</t>
  </si>
  <si>
    <t>Not exercised during M2; only the overnight time-ordering case was battery-tested on Work Shifts (exploration.md §2.2).</t>
  </si>
  <si>
    <t>TC_ADM_JOB_055</t>
  </si>
  <si>
    <t>Removing an assigned employee via chip removal</t>
  </si>
  <si>
    <t>Not exercised during M2 (exploration.md §2.2).</t>
  </si>
  <si>
    <t>TC_ADM_ORG_001</t>
  </si>
  <si>
    <t>General Information</t>
  </si>
  <si>
    <t>Fields are read-only until Edit is toggled</t>
  </si>
  <si>
    <t>TC_ADM_ORG_002</t>
  </si>
  <si>
    <t>Field validation on save — Email = not-an-email</t>
  </si>
  <si>
    <t>M2 did not click Save on General Information (exploration.md §2.3: "No field value was changed and Save was never clicked"); spec.md's expected message is not yet exploration-verified. Confirm exact wording during M4 before automating (Constitution Article V.3).</t>
  </si>
  <si>
    <t>TC_ADM_ORG_003</t>
  </si>
  <si>
    <t>Field validation on save — Phone = abc!!</t>
  </si>
  <si>
    <t>TC_ADM_ORG_004</t>
  </si>
  <si>
    <t>Field validation on save — Organization Name = (empty)</t>
  </si>
  <si>
    <t>TC_ADM_ORG_005</t>
  </si>
  <si>
    <t>Changes persist across reload</t>
  </si>
  <si>
    <t>Save was never exercised on General Information during M2 (exploration.md §2.3); persistence-after-reload is unconfirmed.</t>
  </si>
  <si>
    <t>TC_ADM_ORG_006</t>
  </si>
  <si>
    <t>Locations</t>
  </si>
  <si>
    <t>Create a Locations record</t>
  </si>
  <si>
    <t>TC_ADM_ORG_007</t>
  </si>
  <si>
    <t>TC_ADM_ORG_008</t>
  </si>
  <si>
    <t>Duplicate rejection was not directly exercised on this screen in M2 (exploration.md §2.3 exercised one create/delete cycle on Locations, not duplicate-name rejection); the exact "Already exists" wording is assumed by analogy, not verbatim-confirmed here. Confirm during M4 before automating.</t>
  </si>
  <si>
    <t>TC_ADM_ORG_009</t>
  </si>
  <si>
    <t>TC_ADM_ORG_010</t>
  </si>
  <si>
    <t>TC_ADM_ORG_011</t>
  </si>
  <si>
    <t>Edit an existing Locations record</t>
  </si>
  <si>
    <t>Wave 2 — reuses TC_ADM_JOB_006's generic reference-data CRUD component pattern (different screen/page-object): Locations edit. Not a pure data variant — needs its own page object wiring, but no new interaction logic.</t>
  </si>
  <si>
    <t>TC_ADM_ORG_012</t>
  </si>
  <si>
    <t>Cancel discards changes on Locations</t>
  </si>
  <si>
    <t>Wave 2 — reuses TC_ADM_JOB_007's generic reference-data CRUD component pattern (different screen/page-object): Locations cancel. Not a pure data variant — needs its own page object wiring, but no new interaction logic.</t>
  </si>
  <si>
    <t>TC_ADM_ORG_013</t>
  </si>
  <si>
    <t>Delete a Locations record with confirmation</t>
  </si>
  <si>
    <t>Wave 2 — reuses TC_ADM_JOB_008's generic reference-data CRUD component pattern (different screen/page-object): Locations delete-confirm. Not a pure data variant — needs its own page object wiring, but no new interaction logic.</t>
  </si>
  <si>
    <t>TC_ADM_ORG_014</t>
  </si>
  <si>
    <t>Cancelling delete preserves the Locations record</t>
  </si>
  <si>
    <t>Wave 2 — reuses TC_ADM_JOB_009's generic reference-data CRUD component pattern (different screen/page-object): Locations delete-cancel. Not a pure data variant — needs its own page object wiring, but no new interaction logic.</t>
  </si>
  <si>
    <t>TC_ADM_ORG_015</t>
  </si>
  <si>
    <t>"Number of Employees" column is read-only and links to the employee list</t>
  </si>
  <si>
    <t>Not exercised during M2 (exploration.md §2.3 only confirmed the column exists as read-only).</t>
  </si>
  <si>
    <t>TC_ADM_ORG_016</t>
  </si>
  <si>
    <t>Country dropdown resolves by exact text among ~240 options</t>
  </si>
  <si>
    <t>Wave 2 — reuses TC_ADM_JOB_025's generic reference-data CRUD component pattern (different screen/page-object): Country dropdown (~240 options) exact-text match, same large-dropdown pattern. Not a pure data variant — needs its own page object wiring, but no new interaction logic.</t>
  </si>
  <si>
    <t>TC_ADM_ORG_017</t>
  </si>
  <si>
    <t>Structure</t>
  </si>
  <si>
    <t>Add a child organisation unit</t>
  </si>
  <si>
    <t>Structure mutation was deliberately not performed in M2 (exploration.md §2.3, §9: "Automation readiness for Structure mutation: Not recommended" without dedicated, disposable seed data — the shared tree is already polluted by other users' stray nodes, FLAKE-002).</t>
  </si>
  <si>
    <t>TC_ADM_ORG_018</t>
  </si>
  <si>
    <t>Deleting a parent unit removes its children</t>
  </si>
  <si>
    <t>Same as the add-child case: Structure mutation is not recommended without dedicated seed data (exploration.md §9).</t>
  </si>
  <si>
    <t>TC_ADM_ORG_019</t>
  </si>
  <si>
    <t>Lazy-loaded child nodes expand on demand</t>
  </si>
  <si>
    <t>TC_ADM_QUA_001</t>
  </si>
  <si>
    <t>Skills</t>
  </si>
  <si>
    <t>Create a Skills record</t>
  </si>
  <si>
    <t>TC_ADM_QUA_002</t>
  </si>
  <si>
    <t>TC_ADM_QUA_003</t>
  </si>
  <si>
    <t>Duplicate rejection was not directly exercised on this screen in M2 (exploration.md §2.4 exercised create/edit/delete on Skills for the long-description case, not duplicate-name rejection); the exact "Already exists" wording is assumed by analogy, not verbatim-confirmed here. Confirm during M4 before automating.</t>
  </si>
  <si>
    <t>TC_ADM_QUA_004</t>
  </si>
  <si>
    <t>TC_ADM_QUA_005</t>
  </si>
  <si>
    <t>TC_ADM_QUA_006</t>
  </si>
  <si>
    <t>Edit an existing Skills record</t>
  </si>
  <si>
    <t>TC_ADM_QUA_007</t>
  </si>
  <si>
    <t>Cancel discards changes on Skills</t>
  </si>
  <si>
    <t>TC_ADM_QUA_008</t>
  </si>
  <si>
    <t>Delete a Skills record with confirmation</t>
  </si>
  <si>
    <t>TC_ADM_QUA_009</t>
  </si>
  <si>
    <t>Cancelling delete preserves the Skills record</t>
  </si>
  <si>
    <t>TC_ADM_QUA_010</t>
  </si>
  <si>
    <t>Long Description is retained in full on edit</t>
  </si>
  <si>
    <t>TC_ADM_QUA_011</t>
  </si>
  <si>
    <t>Education</t>
  </si>
  <si>
    <t>Create a Education record</t>
  </si>
  <si>
    <t>Wave 2 — parameter variant of TC_ADM_QUA_001: create, data-driven for Education. Same page object/component; implement as an added data row, not new code.</t>
  </si>
  <si>
    <t>TC_ADM_QUA_012</t>
  </si>
  <si>
    <t>Mandatory validation — Level empty</t>
  </si>
  <si>
    <t>Wave 2 — parameter variant of TC_ADM_QUA_002: mandatory validation, data-driven for Education. Same page object/component; implement as an added data row, not new code.</t>
  </si>
  <si>
    <t>TC_ADM_QUA_013</t>
  </si>
  <si>
    <t>Duplicate Level is rejected</t>
  </si>
  <si>
    <t>Duplicate rejection was not directly exercised on this screen in M2 (exploration.md §2.4 — Education was a confirmatory pass only (field inventory), no mutation performed); the exact "Already exists" wording is assumed by analogy, not verbatim-confirmed here. Confirm during M4 before automating.</t>
  </si>
  <si>
    <t>TC_ADM_QUA_014</t>
  </si>
  <si>
    <t>Level boundary length (51 characters)</t>
  </si>
  <si>
    <t>TC_ADM_QUA_015</t>
  </si>
  <si>
    <t>Level invalid format</t>
  </si>
  <si>
    <t>TC_ADM_QUA_016</t>
  </si>
  <si>
    <t>Edit an existing Education record</t>
  </si>
  <si>
    <t>Wave 2 — parameter variant of TC_ADM_QUA_006: edit, data-driven for Education. Same page object/component; implement as an added data row, not new code.</t>
  </si>
  <si>
    <t>TC_ADM_QUA_017</t>
  </si>
  <si>
    <t>Cancel discards changes on Education</t>
  </si>
  <si>
    <t>Wave 2 — parameter variant of TC_ADM_QUA_007: cancel, data-driven for Education. Same page object/component; implement as an added data row, not new code.</t>
  </si>
  <si>
    <t>TC_ADM_QUA_018</t>
  </si>
  <si>
    <t>Delete a Education record with confirmation</t>
  </si>
  <si>
    <t>Wave 2 — parameter variant of TC_ADM_QUA_008: delete-confirm, data-driven for Education. Same page object/component; implement as an added data row, not new code.</t>
  </si>
  <si>
    <t>TC_ADM_QUA_019</t>
  </si>
  <si>
    <t>Cancelling delete preserves the Education record</t>
  </si>
  <si>
    <t>Wave 2 — parameter variant of TC_ADM_QUA_009: delete-cancel, data-driven for Education. Same page object/component; implement as an added data row, not new code.</t>
  </si>
  <si>
    <t>TC_ADM_QUA_020</t>
  </si>
  <si>
    <t>Licenses</t>
  </si>
  <si>
    <t>Create a Licenses record</t>
  </si>
  <si>
    <t>Wave 2 — parameter variant of TC_ADM_QUA_001: create, data-driven for Licenses. Same page object/component; implement as an added data row, not new code.</t>
  </si>
  <si>
    <t>TC_ADM_QUA_021</t>
  </si>
  <si>
    <t>Wave 2 — parameter variant of TC_ADM_QUA_002: mandatory validation, data-driven for Licenses. Same page object/component; implement as an added data row, not new code.</t>
  </si>
  <si>
    <t>TC_ADM_QUA_022</t>
  </si>
  <si>
    <t>Duplicate rejection was not directly exercised on this screen in M2 (exploration.md §2.4 — Licenses was a confirmatory pass only, no mutation performed); the exact "Already exists" wording is assumed by analogy, not verbatim-confirmed here. Confirm during M4 before automating.</t>
  </si>
  <si>
    <t>TC_ADM_QUA_023</t>
  </si>
  <si>
    <t>TC_ADM_QUA_024</t>
  </si>
  <si>
    <t>TC_ADM_QUA_025</t>
  </si>
  <si>
    <t>Edit an existing Licenses record</t>
  </si>
  <si>
    <t>Wave 2 — parameter variant of TC_ADM_QUA_006: edit, data-driven for Licenses. Same page object/component; implement as an added data row, not new code.</t>
  </si>
  <si>
    <t>TC_ADM_QUA_026</t>
  </si>
  <si>
    <t>Cancel discards changes on Licenses</t>
  </si>
  <si>
    <t>Wave 2 — parameter variant of TC_ADM_QUA_007: cancel, data-driven for Licenses. Same page object/component; implement as an added data row, not new code.</t>
  </si>
  <si>
    <t>TC_ADM_QUA_027</t>
  </si>
  <si>
    <t>Delete a Licenses record with confirmation</t>
  </si>
  <si>
    <t>Wave 2 — parameter variant of TC_ADM_QUA_008: delete-confirm, data-driven for Licenses. Same page object/component; implement as an added data row, not new code.</t>
  </si>
  <si>
    <t>TC_ADM_QUA_028</t>
  </si>
  <si>
    <t>Cancelling delete preserves the Licenses record</t>
  </si>
  <si>
    <t>Wave 2 — parameter variant of TC_ADM_QUA_009: delete-cancel, data-driven for Licenses. Same page object/component; implement as an added data row, not new code.</t>
  </si>
  <si>
    <t>TC_ADM_QUA_029</t>
  </si>
  <si>
    <t>Languages</t>
  </si>
  <si>
    <t>Create a Languages record</t>
  </si>
  <si>
    <t>Wave 2 — parameter variant of TC_ADM_QUA_001: create, data-driven for Languages. Same page object/component; implement as an added data row, not new code.</t>
  </si>
  <si>
    <t>TC_ADM_QUA_030</t>
  </si>
  <si>
    <t>Wave 2 — parameter variant of TC_ADM_QUA_002: mandatory validation, data-driven for Languages. Same page object/component; implement as an added data row, not new code.</t>
  </si>
  <si>
    <t>TC_ADM_QUA_031</t>
  </si>
  <si>
    <t>Duplicate rejection was not directly exercised on this screen in M2 (exploration.md §2.4 — Languages was a confirmatory pass only, no mutation performed); the exact "Already exists" wording is assumed by analogy, not verbatim-confirmed here. Confirm during M4 before automating.</t>
  </si>
  <si>
    <t>TC_ADM_QUA_032</t>
  </si>
  <si>
    <t>TC_ADM_QUA_033</t>
  </si>
  <si>
    <t>TC_ADM_QUA_034</t>
  </si>
  <si>
    <t>Edit an existing Languages record</t>
  </si>
  <si>
    <t>Wave 2 — parameter variant of TC_ADM_QUA_006: edit, data-driven for Languages. Same page object/component; implement as an added data row, not new code.</t>
  </si>
  <si>
    <t>TC_ADM_QUA_035</t>
  </si>
  <si>
    <t>Cancel discards changes on Languages</t>
  </si>
  <si>
    <t>Wave 2 — parameter variant of TC_ADM_QUA_007: cancel, data-driven for Languages. Same page object/component; implement as an added data row, not new code.</t>
  </si>
  <si>
    <t>TC_ADM_QUA_036</t>
  </si>
  <si>
    <t>Delete a Languages record with confirmation</t>
  </si>
  <si>
    <t>Wave 2 — parameter variant of TC_ADM_QUA_008: delete-confirm, data-driven for Languages. Same page object/component; implement as an added data row, not new code.</t>
  </si>
  <si>
    <t>TC_ADM_QUA_037</t>
  </si>
  <si>
    <t>Cancelling delete preserves the Languages record</t>
  </si>
  <si>
    <t>Wave 2 — parameter variant of TC_ADM_QUA_009: delete-cancel, data-driven for Languages. Same page object/component; implement as an added data row, not new code.</t>
  </si>
  <si>
    <t>TC_ADM_QUA_038</t>
  </si>
  <si>
    <t>Memberships</t>
  </si>
  <si>
    <t>Create a Memberships record</t>
  </si>
  <si>
    <t>Wave 2 — parameter variant of TC_ADM_QUA_001: create, data-driven for Memberships. Same page object/component; implement as an added data row, not new code.</t>
  </si>
  <si>
    <t>TC_ADM_QUA_039</t>
  </si>
  <si>
    <t>Wave 2 — parameter variant of TC_ADM_QUA_002: mandatory validation, data-driven for Memberships. Same page object/component; implement as an added data row, not new code.</t>
  </si>
  <si>
    <t>TC_ADM_QUA_040</t>
  </si>
  <si>
    <t>Duplicate rejection was not directly exercised on this screen in M2 (exploration.md §2.4 — Memberships was a confirmatory pass only, no mutation performed); the exact "Already exists" wording is assumed by analogy, not verbatim-confirmed here. Confirm during M4 before automating.</t>
  </si>
  <si>
    <t>TC_ADM_QUA_041</t>
  </si>
  <si>
    <t>TC_ADM_QUA_042</t>
  </si>
  <si>
    <t>TC_ADM_QUA_043</t>
  </si>
  <si>
    <t>Edit an existing Memberships record</t>
  </si>
  <si>
    <t>Wave 2 — parameter variant of TC_ADM_QUA_006: edit, data-driven for Memberships. Same page object/component; implement as an added data row, not new code.</t>
  </si>
  <si>
    <t>TC_ADM_QUA_044</t>
  </si>
  <si>
    <t>Cancel discards changes on Memberships</t>
  </si>
  <si>
    <t>Wave 2 — parameter variant of TC_ADM_QUA_007: cancel, data-driven for Memberships. Same page object/component; implement as an added data row, not new code.</t>
  </si>
  <si>
    <t>TC_ADM_QUA_045</t>
  </si>
  <si>
    <t>Delete a Memberships record with confirmation</t>
  </si>
  <si>
    <t>Wave 2 — parameter variant of TC_ADM_QUA_008: delete-confirm, data-driven for Memberships. Same page object/component; implement as an added data row, not new code.</t>
  </si>
  <si>
    <t>TC_ADM_QUA_046</t>
  </si>
  <si>
    <t>Cancelling delete preserves the Memberships record</t>
  </si>
  <si>
    <t>Wave 2 — parameter variant of TC_ADM_QUA_009: delete-cancel, data-driven for Memberships. Same page object/component; implement as an added data row, not new code.</t>
  </si>
  <si>
    <t>TC_ADM_QUA_047</t>
  </si>
  <si>
    <t>Bulk delete updates the record count</t>
  </si>
  <si>
    <t>Wave 2 — reuses TC_ADM_USR_022's bulk-delete header-checkbox component on the Memberships screen. Not a pure data variant (different page object).</t>
  </si>
  <si>
    <t>TC_ADM_NAT_001</t>
  </si>
  <si>
    <t>Nationalities</t>
  </si>
  <si>
    <t>Create a Nationalities record</t>
  </si>
  <si>
    <t>TC_ADM_NAT_002</t>
  </si>
  <si>
    <t>TC_ADM_NAT_003</t>
  </si>
  <si>
    <t>TC_ADM_NAT_004</t>
  </si>
  <si>
    <t>TC_ADM_NAT_005</t>
  </si>
  <si>
    <t>TC_ADM_NAT_006</t>
  </si>
  <si>
    <t>Edit an existing Nationalities record</t>
  </si>
  <si>
    <t>Wave 2 — reuses TC_ADM_QUA_006's generic reference-data CRUD component pattern (different screen/page-object): Nationalities edit. Not a pure data variant — needs its own page object wiring, but no new interaction logic.</t>
  </si>
  <si>
    <t>TC_ADM_NAT_007</t>
  </si>
  <si>
    <t>Cancel discards changes on Nationalities</t>
  </si>
  <si>
    <t>Wave 2 — reuses TC_ADM_QUA_007's generic reference-data CRUD component pattern (different screen/page-object): Nationalities cancel. Not a pure data variant — needs its own page object wiring, but no new interaction logic.</t>
  </si>
  <si>
    <t>TC_ADM_NAT_008</t>
  </si>
  <si>
    <t>Delete a Nationalities record with confirmation</t>
  </si>
  <si>
    <t>Wave 2 — reuses TC_ADM_QUA_008's generic reference-data CRUD component pattern (different screen/page-object): Nationalities delete-confirm. Not a pure data variant — needs its own page object wiring, but no new interaction logic.</t>
  </si>
  <si>
    <t>TC_ADM_NAT_009</t>
  </si>
  <si>
    <t>Cancelling delete preserves the Nationalities record</t>
  </si>
  <si>
    <t>Wave 2 — reuses TC_ADM_QUA_009's generic reference-data CRUD component pattern (different screen/page-object): Nationalities delete-cancel. Not a pure data variant — needs its own page object wiring, but no new interaction logic.</t>
  </si>
  <si>
    <t>TC_ADM_NAT_010</t>
  </si>
  <si>
    <t>Deleting a Nationality already assigned to an employee — KNOWN DEFECT: BUG-001</t>
  </si>
  <si>
    <t>TC_ADM_NAT_011</t>
  </si>
  <si>
    <t>Pagination integrity across Nationalities pages (validates US-01-05's pagination requirement)</t>
  </si>
  <si>
    <t>TC_ADM_BRD_001</t>
  </si>
  <si>
    <t>Corporate Branding</t>
  </si>
  <si>
    <t>Upload of an unsupported file type shows the wrong message — KNOWN DEFECT: BUG-002</t>
  </si>
  <si>
    <t>TC_ADM_BRD_002</t>
  </si>
  <si>
    <t>Oversized image upload is rejected</t>
  </si>
  <si>
    <t>TC_ADM_BRD_003</t>
  </si>
  <si>
    <t>Valid image within the 1MB limit is accepted</t>
  </si>
  <si>
    <t>M2 only tested rejection paths (oversized, wrong-type); a successful valid-type-and-size upload was never demonstrated (exploration.md §2.6: "Neither Publish nor Reset to Default was ever clicked; no branding change was made"). Publishing a staged upload also carries the blast-radius risk noted for Reset/Publish below.</t>
  </si>
  <si>
    <t>TC_ADM_BRD_004</t>
  </si>
  <si>
    <t>Reset to Default restores the stock branding</t>
  </si>
  <si>
    <t>Publish/Reset to Default changes global branding instantly for every concurrent user of the shared public demo — same blast-radius category as Configuration &gt; Modules. Exploration.md §9 explicitly recommends against this happy-path automation on the shared instance ("the change is global and instantly visible to every concurrent user").</t>
  </si>
  <si>
    <t>TC_ADM_BRD_005</t>
  </si>
  <si>
    <t>Colour picker fields (Primary/Secondary/Font/Gradient colours)</t>
  </si>
  <si>
    <t>Colour-picker / visual-judgement checks are explicitly excluded from automation per this milestone's derivation rules (non-deterministic, visual-judgement value) and carry the same global-revert burden as Reset/Publish (Constitution Article VI.3).</t>
  </si>
  <si>
    <t>TC_ADM_BRD_006</t>
  </si>
  <si>
    <t>Social Media Images checkbox default state</t>
  </si>
  <si>
    <t>TC_ADM_BRD_007</t>
  </si>
  <si>
    <t>Social media link fields validate URL format</t>
  </si>
  <si>
    <t>Distinct social-media-link URL input fields described in prd.md US-06-03 were not observed in the Corporate Branding screen inventory during M2 (exploration.md §2.6 lists only 6 colour pickers, 3 file uploads, the Social Media Images checkbox, and Reset/Preview/Publish actions — no social-media-link inputs); presence on build 5.9 is unconfirmed.</t>
  </si>
  <si>
    <t>TC_ADM_CFG_001</t>
  </si>
  <si>
    <t>Email Configuration</t>
  </si>
  <si>
    <t>SMTP fields appear only for the SMTP method</t>
  </si>
  <si>
    <t>TC_ADM_CFG_002</t>
  </si>
  <si>
    <t>SMTP Authentication = Yes reveals User/Password fields</t>
  </si>
  <si>
    <t>Wave 2 — parameter variant of TC_ADM_CFG_001: Use SMTP Authentication = Yes reveals User/Password fields. Same page object/component; implement as an added data row, not new code.</t>
  </si>
  <si>
    <t>TC_ADM_CFG_003</t>
  </si>
  <si>
    <t>Mandatory SMTP fields blocked when left empty</t>
  </si>
  <si>
    <t>TC_ADM_CFG_004</t>
  </si>
  <si>
    <t>SMTP Port accepts non-numeric input with no validation (FIND-006 gap)</t>
  </si>
  <si>
    <t>Wave 2 — reuses TC_ADM_CFG_003's SMTP form fixture; asserts the Port field's missing format validation (FIND-006). Not a pure data variant.</t>
  </si>
  <si>
    <t>TC_ADM_CFG_005</t>
  </si>
  <si>
    <t>"Send Test Mail" is never exercised</t>
  </si>
  <si>
    <t>CLAUDE.md §5.3 (Email Configuration story) and exploration.md §2.7 explicitly instruct that "Send Test Mail" must never be exercised on the shared demo — this action sends a real email and is out of scope permanently, regardless of executability.</t>
  </si>
  <si>
    <t>TC_ADM_CFG_006</t>
  </si>
  <si>
    <t>Email Subscriptions</t>
  </si>
  <si>
    <t>Toggle a subscription on/off</t>
  </si>
  <si>
    <t>Not mutated during M2 — medium blast radius, instance-wide setting, judged not worth risking for an observation-only pass (exploration.md §2.7, §9); any automated mutation needs a guaranteed revert-in-finally per Constitution Article VI.3, not yet designed.</t>
  </si>
  <si>
    <t>TC_ADM_CFG_007</t>
  </si>
  <si>
    <t>Add/remove subscriber validates email format</t>
  </si>
  <si>
    <t>Not exercised during M2 (exploration.md §2.7).</t>
  </si>
  <si>
    <t>TC_ADM_CFG_008</t>
  </si>
  <si>
    <t>Localization</t>
  </si>
  <si>
    <t>Date format dropdown shows a live example matching the selected format</t>
  </si>
  <si>
    <t>TC_ADM_CFG_009</t>
  </si>
  <si>
    <t>Localization date format persists after save and reload</t>
  </si>
  <si>
    <t>Save-and-reload persistence was not exercised during M2 (exploration.md §2.7 only read the live-example rendering, never saved); mandatory revert-after-test also applies per Constitution VI.3 and exploration.md §9.</t>
  </si>
  <si>
    <t>TC_ADM_CFG_010</t>
  </si>
  <si>
    <t>Language Packages</t>
  </si>
  <si>
    <t>Language Packages list renders read-only</t>
  </si>
  <si>
    <t>Wave 2 — deferred, not a reuse of a specific Wave 1 case. Low-priority, standalone read-only Language Packages list check; no Wave 1 sibling of the same shape.</t>
  </si>
  <si>
    <t>TC_ADM_CFG_011</t>
  </si>
  <si>
    <t>Modules</t>
  </si>
  <si>
    <t>Admin and Pim modules are locked enabled (checked and disabled)</t>
  </si>
  <si>
    <t>TC_ADM_CFG_012</t>
  </si>
  <si>
    <t>Other 9 modules render checked and enabled</t>
  </si>
  <si>
    <t>Wave 2 — parameter variant of TC_ADM_CFG_011: the remaining 9 module checkboxes (checked and enabled). Same page object/component; implement as an added data row, not new code.</t>
  </si>
  <si>
    <t>TC_ADM_CFG_013</t>
  </si>
  <si>
    <t>Disabling a module via its checkbox</t>
  </si>
  <si>
    <t>Configuration &gt; Modules toggling has very-high, instant, global blast radius — it changes every concurrently-logged-in user's sidebar the moment it is saved. Explicitly named as an out-of-scope example for this milestone (global blast radius on the shared demo); also flagged "Not recommended, observe-only by constitutional mandate" in exploration.md §9.</t>
  </si>
  <si>
    <t>TC_ADM_CFG_014</t>
  </si>
  <si>
    <t>Social Media Authentication</t>
  </si>
  <si>
    <t>Default provider list is empty</t>
  </si>
  <si>
    <t>Wave 2 — deferred, not a reuse of a specific Wave 1 case. Low-priority, standalone read-only Social Media Authentication provider-list check; no Wave 1 sibling of the same shape.</t>
  </si>
  <si>
    <t>TC_ADM_CFG_015</t>
  </si>
  <si>
    <t>Add provider form validation (Name/Provider URL/client id/secret, URL format)</t>
  </si>
  <si>
    <t>Not exercised during M2 (exploration.md §2.7, observation-only screen).</t>
  </si>
  <si>
    <t>TC_ADM_CFG_016</t>
  </si>
  <si>
    <t>Register OAuth Client</t>
  </si>
  <si>
    <t>Seeded default OAuth client is UI-locked</t>
  </si>
  <si>
    <t>Wave 2 — deferred, not a reuse of a specific Wave 1 case. Low-priority, standalone read-only Register OAuth Client check; no Wave 1 sibling of the same shape.</t>
  </si>
  <si>
    <t>TC_ADM_CFG_017</t>
  </si>
  <si>
    <t>Add a new OAuth Client and reject a duplicate name</t>
  </si>
  <si>
    <t>Add/duplicate-name CRUD was not exercised in M2 (exploration.md §2.7 only confirmed the read-only state of the seeded, UI-locked default record).</t>
  </si>
  <si>
    <t>TC_ADM_CFG_018</t>
  </si>
  <si>
    <t>LDAP Configuration</t>
  </si>
  <si>
    <t>LDAP Configuration default field inventory (screen found in M2 — FIND-005)</t>
  </si>
  <si>
    <t>Wave 2 — deferred, not a reuse of a specific Wave 1 case. Low-priority, standalone read-only LDAP Configuration field-inventory check; no Wave 1 sibling of the same shape.</t>
  </si>
  <si>
    <t>TC_ADM_CFG_019</t>
  </si>
  <si>
    <t>Enable/Test Connection/Save are never exercised</t>
  </si>
  <si>
    <t>The screen carries its own on-page warning that incorrect configuration "may result in corrupted data" and recommends a database backup first; exploration.md §2.7/§9 explicitly states Enable, Test Connection, and Save were never clicked and this is "Not recommended for any mutation, ever, on this instance" — same blast-radius category as Configuration &gt; Modules.</t>
  </si>
  <si>
    <t>TC_ADM_USR_025</t>
  </si>
  <si>
    <t>Username boundary length (51 characters)</t>
  </si>
  <si>
    <t>Username maximum length was not exercised during M2 (exploration.md §2.1 tested password minimum length, not Username maximum); Constitution Article V.3 forbids hard-coding an assumed expected result for a scenario that has not been exploration-verified. Resolve during M4, then re-classify for M5. (Added by /coverage audit at G3 to close a CRUD depth-check gap.)</t>
  </si>
  <si>
    <t>TC_ADM_ORG_020</t>
  </si>
  <si>
    <t>Search filter Name returns a matching Location</t>
  </si>
  <si>
    <t>Locations' search filters (Name, City, Country) were confirmed present during M2 (exploration.md §2.3) but were never exercised — only a create/delete cycle was run there. Exact result-set behavior is unconfirmed; confirm during M4 before automating. (Added by /coverage audit at G3 to close a CRUD depth-check gap.)</t>
  </si>
  <si>
    <t>TC_ADM_ORG_021</t>
  </si>
  <si>
    <t>Search with no match shows the empty state on Locations</t>
  </si>
  <si>
    <t>Locations' empty-state behavior was not exercised during M2 (exploration.md §2.3 only performed a create/delete cycle, not a search pass); the exact empty-state message is unconfirmed on this screen — do not assume it matches Users' verbatim "No Records Found" without confirming during M4. (Added by /coverage audit at G3 to close a CRUD depth-check gap.)</t>
  </si>
  <si>
    <t>TC_ADM_ORG_022</t>
  </si>
  <si>
    <t>Reset clears all filters on Locations</t>
  </si>
  <si>
    <t>Locations' Reset control was not independently exercised during M2 (exploration.md §2.3 lists Search filters Name/City/Country but does not confirm a Reset button was seen or tested); confirm presence and exact behavior during M4. (Added by /coverage audit at G3 to close a CRUD depth-check gap.)</t>
  </si>
  <si>
    <t>TC_ADM_CFG_020</t>
  </si>
  <si>
    <t>Add and remove a subscriber on an Email Subscription</t>
  </si>
  <si>
    <t>Subscriber add/remove was not exercised during M2 (exploration.md §2.7 — screen was observation-only, medium blast radius, not mutated). The existing Email Subscriptions cases covered the on/off toggle and email-format validation only; this closes the gap on subscriber-list management itself. Any automated mutation needs a guaranteed revert-in-finally per Constitution Article VI.3. (Added by /coverage audit at G3.)</t>
  </si>
  <si>
    <t>Guidance — how to decide "valid in scope" and "needs automation"</t>
  </si>
  <si>
    <t>These two columns exist so a human can check whether the AI understood the requirements. The AI filled them first; the Review sheet shows its suggestion and reason next to a blank cell for yours. Use the criteria below so your calls stay consistent from row to row. Where you disagree, write why: disagreements are the useful output of this review.</t>
  </si>
  <si>
    <t>1. How to fill the Review sheet</t>
  </si>
  <si>
    <t>Edit only the yellow cells in columns H, I, L and M. Pick Yes or No from each dropdown. A reason is required whenever you pick No. If you mark a case out of scope (H = No), mark it No for automation too (L = No): an out-of-scope case cannot be automated, and the sheet turns such a cell purple. The example below shows a filled row. It sits here, not on the Review sheet, so every Review answer stays yours.</t>
  </si>
  <si>
    <t>TC_ADM_CFG_013 (example)</t>
  </si>
  <si>
    <t>Disabling a module changes every logged-in user's sidebar at once on the shared demo.</t>
  </si>
  <si>
    <t>Out of scope, so not automated.</t>
  </si>
  <si>
    <t>2. When a case is OUT of scope (valid in scope = No)</t>
  </si>
  <si>
    <t>Ask: can this case be executed through the UI on this shared public demo, safely, and does the behaviour it tests actually exist on build 5.9? If any answer is no, the case is out of scope.</t>
  </si>
  <si>
    <t>Criterion</t>
  </si>
  <si>
    <t>Plain-language test</t>
  </si>
  <si>
    <t>What it looks like here</t>
  </si>
  <si>
    <t>Current AI "No" cases</t>
  </si>
  <si>
    <t>Note</t>
  </si>
  <si>
    <t>Blast radius</t>
  </si>
  <si>
    <t>Would running it change something for every other user of the demo at once?</t>
  </si>
  <si>
    <t>Publishing or resetting branding, toggling Modules, enabling LDAP.</t>
  </si>
  <si>
    <t>Constitution VI.3: high-blast-radius screens default to observe-only.</t>
  </si>
  <si>
    <t>Blocked by a known defect</t>
  </si>
  <si>
    <t>Does a bug stop the steps from being carried out at all?</t>
  </si>
  <si>
    <t>A defect that makes a screen unusable, not one that gives a wrong result.</t>
  </si>
  <si>
    <t>None today. BUG-001, BUG-002 and BUG-003 cases can all be executed; their tests assert the actual (wrong) behaviour as known-defect guards. A bug only makes a case out of scope if it prevents execution.</t>
  </si>
  <si>
    <t>Not present on build 5.9</t>
  </si>
  <si>
    <t>Does the field, rule or control the case tests actually exist on this build?</t>
  </si>
  <si>
    <t>A format rule on a free-text field that has none; fields the spec describes but the screen does not show.</t>
  </si>
  <si>
    <t>Decided from what M2 exploration observed, not from what the spec assumed.</t>
  </si>
  <si>
    <t>Outside UI scope</t>
  </si>
  <si>
    <t>Does checking the result need anything beyond the browser (email inbox, API, database)?</t>
  </si>
  <si>
    <t>Sending a real test email.</t>
  </si>
  <si>
    <t>Constitution 1.3: email delivery, API and database checks are permanently out of scope.</t>
  </si>
  <si>
    <t>Unreachable with self-contained data</t>
  </si>
  <si>
    <t>Can the test create the state it needs with its own e2e_ records and a small footprint?</t>
  </si>
  <si>
    <t>Forcing a second page of users by creating 50+ accounts.</t>
  </si>
  <si>
    <t>Not in your list, but it is the stated reason for one current case, so it is listed for consistency.</t>
  </si>
  <si>
    <t>3. When a case is NOT worth automating (needs automation = No)</t>
  </si>
  <si>
    <t>Ask: would an automated check give a repeatable, deterministic yes/no answer that is worth the cost of maintaining it? Automate when the result is objective, the test can create and clean up its own data, and a regression would matter.</t>
  </si>
  <si>
    <t>Current in-scope AI "No" cases</t>
  </si>
  <si>
    <t>Visual judgement</t>
  </si>
  <si>
    <t>Does passing depend on a person judging how it looks?</t>
  </si>
  <si>
    <t>Branding previews, colour and layout appearance.</t>
  </si>
  <si>
    <t>Counted together with colour pickers below; one case covers both.</t>
  </si>
  <si>
    <t>Colour pickers</t>
  </si>
  <si>
    <t>Is the main interaction a colour picker?</t>
  </si>
  <si>
    <t>Primary/Secondary/Font/Gradient colour fields on Corporate Branding.</t>
  </si>
  <si>
    <t>(see above)</t>
  </si>
  <si>
    <t>Also carries a global revert burden on the shared demo.</t>
  </si>
  <si>
    <t>File-dialog heavy</t>
  </si>
  <si>
    <t>Does the flow depend on OS file dialogs or many file fixtures?</t>
  </si>
  <si>
    <t>Attaching, replacing or deleting a Job Specification file; branding logo uploads.</t>
  </si>
  <si>
    <t>No current case gives this as its reason, although 5 of them (JOB_010 to JOB_013, BRD_003) are upload flows. Their stated reason is "not observed before M3". Playwright can set files without a dialog, so this alone may not justify No.</t>
  </si>
  <si>
    <t>Non-deterministic</t>
  </si>
  <si>
    <t>Could the same steps give different results on different runs for reasons outside the test?</t>
  </si>
  <si>
    <t>Results that depend on other users' concurrent data, timing, or server hiccups.</t>
  </si>
  <si>
    <t>No current case gives this as its reason. Flaky shared-demo behaviour is handled by the healing log, not by excluding cases.</t>
  </si>
  <si>
    <t>Expected result not yet observed</t>
  </si>
  <si>
    <t>Is the correct outcome known from observation, or only assumed from the spec?</t>
  </si>
  <si>
    <t>Duplicate-name wording, 51-character limits, validation messages never seen in M2.</t>
  </si>
  <si>
    <t>The most common AI reason. See section 5: M4 has since observed all of these.</t>
  </si>
  <si>
    <t>Shared-state mutation</t>
  </si>
  <si>
    <t>Does it change instance-wide settings or shared structure that must be reverted exactly?</t>
  </si>
  <si>
    <t>Email subscriptions, Localization date format, Organization Structure nodes.</t>
  </si>
  <si>
    <t>Automatable only with a guaranteed revert or dedicated seed data.</t>
  </si>
  <si>
    <t>4. Worked examples — the 17 cases the AI marked out of scope</t>
  </si>
  <si>
    <t>Category</t>
  </si>
  <si>
    <t>AI reason (verbatim from test_design.csv)</t>
  </si>
  <si>
    <t>Unreachable with self-contained data (would need 50+ owned records to force a second page)</t>
  </si>
  <si>
    <t>Not present on build 5.9 (no format rule exists for this free-text field)</t>
  </si>
  <si>
    <t>Blast radius on the shared demo (global change for every concurrent user)</t>
  </si>
  <si>
    <t>Not present on build 5.9 (the fields were never observed on the screen)</t>
  </si>
  <si>
    <t>Outside UI scope (sends a real email; email delivery is out of scope, Constitution 1.3)</t>
  </si>
  <si>
    <t>5. Evidence added after the AI made its suggestions (50 in-scope "not worth automating" cases)</t>
  </si>
  <si>
    <t>The AI set these values at M3. For 44 of these 50 cases its reason was that the behaviour had not been observed yet, so there was no verified expected result to assert. M4 then executed every in-scope case manually. All 50 of these were run: 49 passed and 1 failed (TC_ADM_JOB_004, which filed BUG-004). So for most of them, the evidence that reason was waiting for now exists. This is not a recommendation to change them. It is the information most likely to make your answer differ from the AI's.</t>
  </si>
  <si>
    <t>AI reason category</t>
  </si>
  <si>
    <t>M4 manual result (agent_execution_report.html)</t>
  </si>
  <si>
    <t>Expected result not observed before M3 (Constitution V.3)</t>
  </si>
  <si>
    <t>Pass: On same Add form, typed Job Title = `Account Assistant` (existing record), clicked Save. Textbox showed inline error `Already exists` (verbatim). No record created, stayed on Add form.</t>
  </si>
  <si>
    <t>Fail: Entered a 51-character Job Title (`e2e_m4b2r_00000000000000000000000000000000000000000`), clicked Save. Toast `Successfully Saved` appeared (no truncation error, no length-validation error of any kind). Reloaded the list</t>
  </si>
  <si>
    <t>Pass: Clicked Add, entered Job Title `e2e_m4b2r_jobtitle_attach_20260923`, attached a small (~80 byte) `.txt` file (`e2e_m4b2r_jobspec_valid.txt`, well under 1MB) to Job Specification, clicked Save. Toast `Successfully Saved`.</t>
  </si>
  <si>
    <t>Pass: Clicked Add, entered Job Title `e2e_m4b2r_jobtitle_badfile_20260923`, attached an unsupported file type (`e2e_m4b2r_unsupported.exe`, plain text content, well under 1MB) to Job Specification. Inline error appeared immedi</t>
  </si>
  <si>
    <t>Pass: Opened record id 78 (from TC_ADM_JOB_010) for edit. Selected radio `Replace Current` (had to click the label text — the underlying `&lt;input type=radio&gt;` is not directly clickable, consistent with CLAUDE.md §5.2's checkbox</t>
  </si>
  <si>
    <t>Pass: On record id 78, selected radio `Delete Current`, clicked Save. Toast `Successfully Updated`. Navigating directly to `/admin/saveJobTitle/78` afterward produced a console 404 (`GET .../api/v2/admin/job-titles/78` -&gt; 404)</t>
  </si>
  <si>
    <t>Pass: On same Add form, typed Name = `Grade 1` (existing record), clicked Save. Inline error `Already exists` (verbatim). No record created.</t>
  </si>
  <si>
    <t>Pass: On same Add form, typed a 51-character Name (`e2e_m4b2r_00000000000000000000000000000000000000000`), clicked Save. Inline error `Should not exceed 50 characters` (verbatim) shown; Save blocked, no record created.</t>
  </si>
  <si>
    <t>Pass: On record id 26 (which already has Euro assigned from TC_ADM_JOB_023/025), clicked Currencies "Add" again and opened the Currency dropdown. Inspected the full ~150-option listbox: `EUR - Euro` is absent from the list ent</t>
  </si>
  <si>
    <t>Pass: Typed Name = `Freelance` (existing record), clicked Save. Inline error `Already exists` (verbatim).</t>
  </si>
  <si>
    <t>Pass: Typed a 51-character Name, clicked Save. Inline error `Should not exceed 50 characters` (verbatim) — same as Pay Grades (TC_ADM_JOB_017), consistent with the shared-component 50-char cap.</t>
  </si>
  <si>
    <t>Pass: Navigated read-only to PIM &gt; Employee List &gt; Amelia Brown (empNumber 116) &gt; Job tab. Opened the Employment Status dropdown: `e2e_m4b2r_empstatus_delcancel_20260923` (created moments earlier) appears as a selectable optio</t>
  </si>
  <si>
    <t>Pass: On same Add form, typed Name = `Craft Workers` (existing record), clicked Save. Inline error `Already exists` (verbatim) shown under field. No record created, stayed on Add form.</t>
  </si>
  <si>
    <t>Pass: On same Add form, typed a verified-51-character value (`e2e_m4b2c_00000000000000000000000000000000000000000`, length confirmed via `browser_evaluate`), clicked Save. Inline error `Should not exceed 50 characters` (verbat</t>
  </si>
  <si>
    <t>Pass: On same Add form, typed Shift Name = `General` (existing record), clicked Save. Inline error `Already exists` (verbatim) shown under field. No record created. No HTTP 500 or session-expiry occurred this time (contrast wi</t>
  </si>
  <si>
    <t>Pass: On same Add form, typed a verified-51-character Shift Name (length confirmed via `browser_evaluate`: `51,8,8,0` across the 4 form inputs), clicked Save. Inline error `Should not exceed 50 characters` (verbatim) shown; Sa</t>
  </si>
  <si>
    <t>Pass: Created/reused a dedicated owned record `e2e_m4b2c_shift_multi_20260923` with employee `Amelia Brown` already assigned (added via the Assigned Employees autocomplete: typed "Amelia", waited for the `option` "Amelia Brown</t>
  </si>
  <si>
    <t>Pass: On the same `e2e_m4b2c_shift_multi_20260923` record (still showing the `Amelia Brown` chip), clicked the chip's remove `(x)` control. Chip disappeared from the field (Assigned Employees showed empty `Type for hints...` p</t>
  </si>
  <si>
    <t>Pass: Setting Email to `not-an-email` produced inline error `Expected format: admin@example.com` (appeared on blur, before Save was even clicked). Clicking Save left the form in Edit mode with the same error still shown — save</t>
  </si>
  <si>
    <t>Pass: Setting Phone to `abc!!` produced inline error `Allows numbers and only + - / ( )`. Save blocked, error persisted, still in Edit mode.</t>
  </si>
  <si>
    <t>Pass: Clearing Organization Name to empty and clicking Save produced inline error `Required` under the field. Save blocked, form remained in Edit mode.</t>
  </si>
  <si>
    <t>Pass: Set Notes to `e2e_m4org_20260923203300`, clicked Save → toast "Success / Successfully Updated", all fields reverted to disabled/read-only. Reloaded the page (fresh navigation) → Notes field still showed `e2e_m4org_202609</t>
  </si>
  <si>
    <t>Pass: Clicked Add, entered Name=`Texas R&amp;D` (matches an existing record) + Country=United States, clicked Save → inline error `Already exists` under Name. Save blocked; remained on Add form; no duplicate record created.</t>
  </si>
  <si>
    <t>Pass: Entered a Name of exactly 51 characters (`e2e_m4org_51_` + 38×`A`, length verified via DOM evaluate = 51), Country=United States, clicked Save → toast "Success / Successfully Saved", **no truncation and no length-error m</t>
  </si>
  <si>
    <t>Pass: Observed the "Number of Employees" column is plain read-only text (no link/button styling — no `cursor=pointer`, no `role=link`/`role=button` in the accessibility tree). Clicked directly on the "2" count for "New York Sa</t>
  </si>
  <si>
    <t>Shared-state mutation needing a guaranteed revert or seed data</t>
  </si>
  <si>
    <t>Pass: Toggled Structure's Edit checkbox on → root-level "Add" button appeared. Clicked it → dialog "Add Organization Unit" with confirmation text "This unit will be added under OrangeHRM". Filled Name=`e2e_m4org_unit_20260923`</t>
  </si>
  <si>
    <t>Pass: First added a child node `e2e_m4org_unit_child_20260923` under the owned `e2e_m4org_unit_20260923` node (dialog confirmed "This unit will be added under e2e_m4org_unit_20260923"; toast "Successfully Saved"); expanded the</t>
  </si>
  <si>
    <t>Pass: Field-level message "Already exists" shown under Name after entering "Java" (existing record); no new record created.</t>
  </si>
  <si>
    <t>Pass: 51-char Name (`e2e_m4qua_51_...AB`, confirmed 51 chars via `input.value.length`) was accepted in full with toast "Successfully Saved"; list showed the full 51-char value with zero truncation, no error.</t>
  </si>
  <si>
    <t>Pass: Entered "Bachelor's Degree" (existing); "Already exists" shown; no new record.</t>
  </si>
  <si>
    <t>Pass: 51-char Level (confirmed 51 via JS) accepted in full, toast "Successfully Saved", no truncation/error.</t>
  </si>
  <si>
    <t>Pass: Entered "Cisco Certified Network Associate (CCNA)" (existing); "Already exists" shown.</t>
  </si>
  <si>
    <t>Pass: 51-char Name (confirmed via JS) accepted in full, toast "Successfully Saved", no cap.</t>
  </si>
  <si>
    <t>Pass: Entered "English" (existing); "Already exists" shown.</t>
  </si>
  <si>
    <t>Pass: 51-char Name (confirmed via JS) accepted in full, no cap.</t>
  </si>
  <si>
    <t>Pass: Entered "ACCA" (existing); "Already exists" shown.</t>
  </si>
  <si>
    <t xml:space="preserve">Pass: ~~51-char Name was rejected: "Should not exceed 50 characters"; no record created; count stayed at 5.~~ **Independently re-executed live by the orchestrating session (2026-09-23 ~21:08 UTC) after this claim was found to </t>
  </si>
  <si>
    <t>Pass: Add form, entered a 51-character Name (`e2e_m4nat_51c_` + 37×`x`, length verified =51 before typing). Field held all 51 characters with no client-side truncation on input. Clicked Save: toast "Success"/"Successfully Save</t>
  </si>
  <si>
    <t>Pass: Uploaded a genuinely valid, decodable 1x1-pixel `.png` (70 bytes, `e2e_m4brdcfg2_valid.png`, well under 1MB) to Client Logo. Filename `e2e_m4brdcfg2_valid.png` displayed next to "Browse"; **no error message of any kind a</t>
  </si>
  <si>
    <t>Visual judgement / colour picker</t>
  </si>
  <si>
    <t>Pass: Opened the Primary Color picker (trigger swatch, default `#FF7B1D`). Typing a hex value **without** a leading `#` (`336699`) produced a persistent `Invalid` message under the field (did not auto-correct or accept). Clear</t>
  </si>
  <si>
    <t>Pass: On Admin &gt; Configuration &gt; Email Subscriptions, `(5) Records Found` confirmed (baseline unchanged from exploration.md). Clicked the row checkbox for "Leave Applications" — it toggled to `checked` immediately with no sepa</t>
  </si>
  <si>
    <t>Pass: Opened "Leave Applications" subscribers (via its row's subscriber-management action button) — confirmed `No Records Found` baseline (no pre-existing subscribers, zero contamination risk). Clicked "Add", entered Name `e2e</t>
  </si>
  <si>
    <t>Pass: Selected `yyyy-mm-dd ( 2026-09-24 )`, clicked Save → toast `Success` / `Successfully Updated`, trigger updated immediately. **Did a full page reload** (not just in-SPA re-render) and confirmed the Date Format field still</t>
  </si>
  <si>
    <t>Pass: Clicked "Add" → "Add Provider" dialog with `Name*`, `Provider URL*`, `Client ID*`, `Client Secret*`. Submitted fully empty → all four fields showed `Required` (verbatim), nothing saved. Additionally (beyond the CSV's lit</t>
  </si>
  <si>
    <t xml:space="preserve">Pass: Clicked "Add", created a new client `e2e_m4brdcfg2_oauth` with Redirect URI `https://example.com/e2e-m4brdcfg2-callback` → saved successfully (list went `(1)` → `(2) Records Found`; new row's action buttons were **not** </t>
  </si>
  <si>
    <t>Pass: On a fresh Add User form, filled User Role=ESS, Employee Name="manda akhil user", Status=Enabled, Password/Confirm=`Passw0rd!2025`, then entered a 51-character Username (`e2e_m4b1r_51c_` + 37×`x`, verified 51 chars via `</t>
  </si>
  <si>
    <t>Pass: Set Locations Name filter to `Texas R&amp;D` (an existing record's exact name), clicked Search → result narrowed to `(1) Record Found`, showing exactly the `Texas R&amp;D` row.</t>
  </si>
  <si>
    <t>Pass: Set Locations Name filter to `e2e_m4org_nonexistent_20260923` (a value guaranteed not to exist), clicked Search → table body showed `No Records Found` as the empty-state row, and a toast also appeared: "Info / No Records</t>
  </si>
  <si>
    <t>Pass: With the Name filter still set to the nonexistent value from TC_ADM_ORG_021, clicked "Reset" → Name filter field cleared to empty, list returned to showing all `(5) Records Found` (unfiltered) at that point in the run.</t>
  </si>
  <si>
    <t>Pass: Continuing in the same still-open Add Subscriber dialog from CFG_007: corrected the email to a valid `e2e_m4brdcfg2_sub@example.com`, clicked Save — the validation message cleared and, on a second Save click, the subscri</t>
  </si>
  <si>
    <t>Summary — AI suggestions vs. your decisions</t>
  </si>
  <si>
    <t>Test cases</t>
  </si>
  <si>
    <t>Total test cases</t>
  </si>
  <si>
    <t>Rows on the Review sheet (matches test_design.csv).</t>
  </si>
  <si>
    <t>AI suggestions (from test_design.csv)</t>
  </si>
  <si>
    <t>valid in scope = Yes</t>
  </si>
  <si>
    <t>valid in scope = No</t>
  </si>
  <si>
    <t>needs automation = Yes</t>
  </si>
  <si>
    <t>needs automation = No</t>
  </si>
  <si>
    <t>Your decisions</t>
  </si>
  <si>
    <t>valid in scope: Yes / No / not yet filled</t>
  </si>
  <si>
    <t xml:space="preserve">   Yes</t>
  </si>
  <si>
    <t xml:space="preserve">   No</t>
  </si>
  <si>
    <t xml:space="preserve">   not yet filled</t>
  </si>
  <si>
    <t>needs automation: Yes / No / not yet filled</t>
  </si>
  <si>
    <t>Rows fully reviewed (both of your Yes/No cells set)</t>
  </si>
  <si>
    <t>Agreement</t>
  </si>
  <si>
    <t>Rows where you agree with the AI on both columns</t>
  </si>
  <si>
    <t>Rows where you disagree on at least one column</t>
  </si>
  <si>
    <t>AGREEMENT RATE</t>
  </si>
  <si>
    <t>Placeholder until you fill the Review sheet: shows "Not yet filled in" until at least one row is fully reviewed, then agreed rows ÷ fully reviewed rows.</t>
  </si>
  <si>
    <t>valid in scope: rows where yours matches the AI</t>
  </si>
  <si>
    <t>valid in scope: agreement rate</t>
  </si>
  <si>
    <t>needs automation: rows where yours matches the AI</t>
  </si>
  <si>
    <t>needs automation: agreement rate</t>
  </si>
  <si>
    <t>Direction of disagreement</t>
  </si>
  <si>
    <t>Scope: AI said Yes, you said No</t>
  </si>
  <si>
    <t>Scope: AI said No, you said Yes</t>
  </si>
  <si>
    <t>Automation: AI said Yes, you said No</t>
  </si>
  <si>
    <t>Automation: AI said No, you said Yes</t>
  </si>
  <si>
    <t>Checks before handing the sheet back</t>
  </si>
  <si>
    <t>No without a reason (scope)</t>
  </si>
  <si>
    <t>Should be 0. Every No needs a reason (CLAUDE.md §6).</t>
  </si>
  <si>
    <t>No without a reason (automation)</t>
  </si>
  <si>
    <t>Should be 0.</t>
  </si>
  <si>
    <t>Out of scope but marked for automation</t>
  </si>
  <si>
    <t>Should be 0. An out-of-scope case cannot need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</si>
</sst>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sz val="13"/>
      <name val="Arial"/>
    </font>
    <font>
      <sz val="10"/>
      <name val="Arial"/>
    </font>
    <font>
      <b/>
      <color rgb="FFFFFFFF"/>
      <sz val="10"/>
      <name val="Arial"/>
    </font>
    <font>
      <b/>
      <sz val="10"/>
      <name val="Arial"/>
    </font>
    <font>
      <b/>
      <sz val="12"/>
      <name val="Arial"/>
    </font>
    <font>
      <i/>
      <color rgb="FF595959"/>
      <sz val="10"/>
      <name val="Arial"/>
    </font>
  </fonts>
  <fills count="6">
    <fill>
      <patternFill patternType="none"/>
    </fill>
    <fill>
      <patternFill patternType="gray125"/>
    </fill>
    <fill>
      <patternFill patternType="solid">
        <fgColor rgb="FF1F3864"/>
      </patternFill>
    </fill>
    <fill>
      <patternFill patternType="solid">
        <fgColor rgb="FFD9E1F2"/>
      </patternFill>
    </fill>
    <fill>
      <patternFill patternType="solid">
        <fgColor rgb="FFFFF2CC"/>
      </patternFill>
    </fill>
    <fill>
      <patternFill patternType="solid">
        <fgColor rgb="FFFFFF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3" fillId="2" borderId="1" xfId="0" applyFont="1" applyFill="1" applyBorder="1" applyAlignment="1">
      <alignment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2" fillId="0" borderId="1" xfId="0" applyFont="1" applyBorder="1" applyAlignment="1">
      <alignment horizontal="center" vertical="top"/>
    </xf>
    <xf numFmtId="0" fontId="1" fillId="0" borderId="0" xfId="0" applyFont="1" applyAlignment="1">
      <alignment vertical="top" wrapText="1"/>
    </xf>
    <xf numFmtId="0" fontId="5" fillId="0" borderId="0" xfId="0" applyFont="1" applyAlignment="1">
      <alignment vertical="top" wrapText="1"/>
    </xf>
    <xf numFmtId="0" fontId="3" fillId="2" borderId="0" xfId="0" applyFont="1" applyFill="1"/>
    <xf numFmtId="0" fontId="2" fillId="0" borderId="0" xfId="0" applyFont="1"/>
    <xf numFmtId="0" fontId="2" fillId="0" borderId="0" xfId="0" applyFont="1" applyAlignment="1">
      <alignment horizontal="right"/>
    </xf>
    <xf numFmtId="0" fontId="6" fillId="0" borderId="0" xfId="0" applyFont="1" applyAlignment="1">
      <alignment wrapText="1"/>
    </xf>
    <xf numFmtId="0" fontId="4" fillId="0" borderId="0" xfId="0" applyFont="1"/>
    <xf numFmtId="0" fontId="4" fillId="0" borderId="0" xfId="0" applyFont="1" applyAlignment="1">
      <alignment horizontal="right"/>
    </xf>
    <xf numFmtId="164" fontId="4" fillId="0" borderId="0" xfId="0" applyNumberFormat="1" applyFont="1" applyAlignment="1">
      <alignment horizontal="right"/>
    </xf>
    <xf numFmtId="164" fontId="2" fillId="0" borderId="0" xfId="0" applyNumberFormat="1" applyFont="1" applyAlignment="1">
      <alignment horizontal="right"/>
    </xf>
  </cellXfs>
  <cellStyles count="1">
    <cellStyle name="Normal" xfId="0" builtinId="0"/>
  </cellStyles>
  <dxfs count="7">
    <dxf>
      <fill>
        <patternFill patternType="solid">
          <bgColor rgb="FFD9B3FF"/>
        </patternFill>
      </fill>
    </dxf>
    <dxf>
      <fill>
        <patternFill patternType="solid">
          <bgColor rgb="FFF4B6B6"/>
        </patternFill>
      </fill>
    </dxf>
    <dxf>
      <fill>
        <patternFill patternType="solid">
          <bgColor rgb="FFF4B6B6"/>
        </patternFill>
      </fill>
    </dxf>
    <dxf>
      <fill>
        <patternFill patternType="solid">
          <bgColor rgb="FFFFC285"/>
        </patternFill>
      </fill>
    </dxf>
    <dxf>
      <fill>
        <patternFill patternType="solid">
          <bgColor rgb="FFFFC285"/>
        </patternFill>
      </fill>
    </dxf>
    <dxf>
      <font>
        <b/>
        <color rgb="FF9C0006"/>
      </font>
      <fill>
        <patternFill patternType="solid">
          <bgColor rgb="FFF4B6B6"/>
        </patternFill>
      </fill>
    </dxf>
    <dxf>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xSplit="1" ySplit="4" topLeftCell="B5" activePane="bottomRight" state="frozen"/>
      <selection pane="bottomRight"/>
    </sheetView>
  </sheetViews>
  <sheetFormatPr defaultRowHeight="15" outlineLevelRow="0" outlineLevelCol="0" x14ac:dyDescent="55"/>
  <cols>
    <col min="1" max="1" width="17" customWidth="1"/>
    <col min="2" max="2" width="22" customWidth="1"/>
    <col min="3" max="3" width="44" customWidth="1"/>
    <col min="4" max="4" width="11" customWidth="1"/>
    <col min="5" max="5" width="8" customWidth="1"/>
    <col min="6" max="6" width="13" customWidth="1"/>
    <col min="7" max="7" width="55" customWidth="1"/>
    <col min="8" max="8" width="13" customWidth="1"/>
    <col min="9" max="9" width="40" customWidth="1"/>
    <col min="10" max="10" width="14" customWidth="1"/>
    <col min="11" max="11" width="55" customWidth="1"/>
    <col min="12" max="12" width="14" customWidth="1"/>
    <col min="13" max="13" width="40" customWidth="1"/>
    <col min="14" max="14" width="10" customWidth="1"/>
  </cols>
  <sheetData>
    <row r="1" spans="1:14" x14ac:dyDescent="0.25">
      <c r="A1" s="1" t="s">
        <v>0</v>
      </c>
      <c r="B1" s="1"/>
      <c r="C1" s="1"/>
      <c r="D1" s="1"/>
      <c r="E1" s="1"/>
      <c r="F1" s="1"/>
      <c r="G1" s="1"/>
      <c r="H1" s="1"/>
      <c r="I1" s="1"/>
      <c r="J1" s="1"/>
      <c r="K1" s="1"/>
      <c r="L1" s="1"/>
      <c r="M1" s="1"/>
      <c r="N1" s="1"/>
    </row>
    <row r="2" ht="42" customHeight="1" spans="1:14" x14ac:dyDescent="0.25">
      <c r="A2" s="2" t="s">
        <v>1</v>
      </c>
      <c r="B2" s="2"/>
      <c r="C2" s="2"/>
      <c r="D2" s="2"/>
      <c r="E2" s="2"/>
      <c r="F2" s="2"/>
      <c r="G2" s="2"/>
      <c r="H2" s="2"/>
      <c r="I2" s="2"/>
      <c r="J2" s="2"/>
      <c r="K2" s="2"/>
      <c r="L2" s="2"/>
      <c r="M2" s="2"/>
      <c r="N2" s="2"/>
    </row>
    <row r="3" spans="1:14" x14ac:dyDescent="0.25">
      <c r="A3" s="3" t="s">
        <v>2</v>
      </c>
      <c r="B3" s="3"/>
      <c r="C3" s="3"/>
      <c r="D3" s="3"/>
      <c r="E3" s="3"/>
      <c r="F3" s="4" t="s">
        <v>3</v>
      </c>
      <c r="G3" s="4"/>
      <c r="H3" s="5" t="s">
        <v>4</v>
      </c>
      <c r="I3" s="5"/>
      <c r="J3" s="4" t="s">
        <v>5</v>
      </c>
      <c r="K3" s="4"/>
      <c r="L3" s="5" t="s">
        <v>6</v>
      </c>
      <c r="M3" s="5"/>
      <c r="N3" s="3" t="s">
        <v>7</v>
      </c>
    </row>
    <row r="4" ht="30" customHeight="1" spans="1:14" x14ac:dyDescent="0.25">
      <c r="A4" s="6" t="s">
        <v>8</v>
      </c>
      <c r="B4" s="6" t="s">
        <v>9</v>
      </c>
      <c r="C4" s="6" t="s">
        <v>10</v>
      </c>
      <c r="D4" s="6" t="s">
        <v>11</v>
      </c>
      <c r="E4" s="6" t="s">
        <v>12</v>
      </c>
      <c r="F4" s="6" t="s">
        <v>13</v>
      </c>
      <c r="G4" s="6" t="s">
        <v>14</v>
      </c>
      <c r="H4" s="6" t="s">
        <v>15</v>
      </c>
      <c r="I4" s="6" t="s">
        <v>16</v>
      </c>
      <c r="J4" s="6" t="s">
        <v>17</v>
      </c>
      <c r="K4" s="6" t="s">
        <v>14</v>
      </c>
      <c r="L4" s="6" t="s">
        <v>18</v>
      </c>
      <c r="M4" s="6" t="s">
        <v>19</v>
      </c>
      <c r="N4" s="6" t="s">
        <v>20</v>
      </c>
    </row>
    <row r="5" ht="15" customHeight="1" spans="1:14" x14ac:dyDescent="0.25">
      <c r="A5" s="7" t="s">
        <v>21</v>
      </c>
      <c r="B5" s="7" t="s">
        <v>22</v>
      </c>
      <c r="C5" s="8" t="s">
        <v>23</v>
      </c>
      <c r="D5" s="7" t="s">
        <v>24</v>
      </c>
      <c r="E5" s="7" t="s">
        <v>25</v>
      </c>
      <c r="F5" s="7" t="s">
        <v>26</v>
      </c>
      <c r="G5" s="8" t="s">
        <v>27</v>
      </c>
      <c r="H5" s="9"/>
      <c r="I5" s="10"/>
      <c r="J5" s="7" t="s">
        <v>26</v>
      </c>
      <c r="K5" s="8" t="s">
        <v>27</v>
      </c>
      <c r="L5" s="9"/>
      <c r="M5" s="10"/>
      <c r="N5" s="11" t="str">
        <f>IF(OR(H5="",L5=""),"",IF(AND(H5=F5,L5=J5),"Yes","No"))</f>
        <v/>
      </c>
    </row>
    <row r="6" ht="30" customHeight="1" spans="1:14" x14ac:dyDescent="0.25">
      <c r="A6" s="7" t="s">
        <v>28</v>
      </c>
      <c r="B6" s="7" t="s">
        <v>22</v>
      </c>
      <c r="C6" s="8" t="s">
        <v>29</v>
      </c>
      <c r="D6" s="7" t="s">
        <v>30</v>
      </c>
      <c r="E6" s="7" t="s">
        <v>25</v>
      </c>
      <c r="F6" s="7" t="s">
        <v>26</v>
      </c>
      <c r="G6" s="8" t="s">
        <v>27</v>
      </c>
      <c r="H6" s="9"/>
      <c r="I6" s="10"/>
      <c r="J6" s="7" t="s">
        <v>26</v>
      </c>
      <c r="K6" s="8" t="s">
        <v>27</v>
      </c>
      <c r="L6" s="9"/>
      <c r="M6" s="10"/>
      <c r="N6" s="11" t="str">
        <f>IF(OR(H6="",L6=""),"",IF(AND(H6=F6,L6=J6),"Yes","No"))</f>
        <v/>
      </c>
    </row>
    <row r="7" ht="60" customHeight="1" spans="1:14" x14ac:dyDescent="0.25">
      <c r="A7" s="7" t="s">
        <v>31</v>
      </c>
      <c r="B7" s="7" t="s">
        <v>22</v>
      </c>
      <c r="C7" s="8" t="s">
        <v>32</v>
      </c>
      <c r="D7" s="7" t="s">
        <v>30</v>
      </c>
      <c r="E7" s="7" t="s">
        <v>25</v>
      </c>
      <c r="F7" s="7" t="s">
        <v>26</v>
      </c>
      <c r="G7" s="8" t="s">
        <v>27</v>
      </c>
      <c r="H7" s="9"/>
      <c r="I7" s="10"/>
      <c r="J7" s="7" t="s">
        <v>26</v>
      </c>
      <c r="K7" s="8" t="s">
        <v>33</v>
      </c>
      <c r="L7" s="9"/>
      <c r="M7" s="10"/>
      <c r="N7" s="11" t="str">
        <f>IF(OR(H7="",L7=""),"",IF(AND(H7=F7,L7=J7),"Yes","No"))</f>
        <v/>
      </c>
    </row>
    <row r="8" ht="75" customHeight="1" spans="1:14" x14ac:dyDescent="0.25">
      <c r="A8" s="7" t="s">
        <v>34</v>
      </c>
      <c r="B8" s="7" t="s">
        <v>22</v>
      </c>
      <c r="C8" s="8" t="s">
        <v>35</v>
      </c>
      <c r="D8" s="7" t="s">
        <v>30</v>
      </c>
      <c r="E8" s="7" t="s">
        <v>25</v>
      </c>
      <c r="F8" s="7" t="s">
        <v>26</v>
      </c>
      <c r="G8" s="8" t="s">
        <v>27</v>
      </c>
      <c r="H8" s="9"/>
      <c r="I8" s="10"/>
      <c r="J8" s="7" t="s">
        <v>26</v>
      </c>
      <c r="K8" s="8" t="s">
        <v>36</v>
      </c>
      <c r="L8" s="9"/>
      <c r="M8" s="10"/>
      <c r="N8" s="11" t="str">
        <f>IF(OR(H8="",L8=""),"",IF(AND(H8=F8,L8=J8),"Yes","No"))</f>
        <v/>
      </c>
    </row>
    <row r="9" ht="15" customHeight="1" spans="1:14" x14ac:dyDescent="0.25">
      <c r="A9" s="7" t="s">
        <v>37</v>
      </c>
      <c r="B9" s="7" t="s">
        <v>22</v>
      </c>
      <c r="C9" s="8" t="s">
        <v>38</v>
      </c>
      <c r="D9" s="7" t="s">
        <v>39</v>
      </c>
      <c r="E9" s="7" t="s">
        <v>40</v>
      </c>
      <c r="F9" s="7" t="s">
        <v>26</v>
      </c>
      <c r="G9" s="8" t="s">
        <v>27</v>
      </c>
      <c r="H9" s="9"/>
      <c r="I9" s="10"/>
      <c r="J9" s="7" t="s">
        <v>26</v>
      </c>
      <c r="K9" s="8" t="s">
        <v>27</v>
      </c>
      <c r="L9" s="9"/>
      <c r="M9" s="10"/>
      <c r="N9" s="11" t="str">
        <f>IF(OR(H9="",L9=""),"",IF(AND(H9=F9,L9=J9),"Yes","No"))</f>
        <v/>
      </c>
    </row>
    <row r="10" ht="45" customHeight="1" spans="1:14" x14ac:dyDescent="0.25">
      <c r="A10" s="7" t="s">
        <v>41</v>
      </c>
      <c r="B10" s="7" t="s">
        <v>22</v>
      </c>
      <c r="C10" s="8" t="s">
        <v>42</v>
      </c>
      <c r="D10" s="7" t="s">
        <v>39</v>
      </c>
      <c r="E10" s="7" t="s">
        <v>40</v>
      </c>
      <c r="F10" s="7" t="s">
        <v>26</v>
      </c>
      <c r="G10" s="8" t="s">
        <v>27</v>
      </c>
      <c r="H10" s="9"/>
      <c r="I10" s="10"/>
      <c r="J10" s="7" t="s">
        <v>26</v>
      </c>
      <c r="K10" s="8" t="s">
        <v>43</v>
      </c>
      <c r="L10" s="9"/>
      <c r="M10" s="10"/>
      <c r="N10" s="11" t="str">
        <f>IF(OR(H10="",L10=""),"",IF(AND(H10=F10,L10=J10),"Yes","No"))</f>
        <v/>
      </c>
    </row>
    <row r="11" ht="30" customHeight="1" spans="1:14" x14ac:dyDescent="0.25">
      <c r="A11" s="7" t="s">
        <v>44</v>
      </c>
      <c r="B11" s="7" t="s">
        <v>22</v>
      </c>
      <c r="C11" s="8" t="s">
        <v>45</v>
      </c>
      <c r="D11" s="7" t="s">
        <v>30</v>
      </c>
      <c r="E11" s="7" t="s">
        <v>25</v>
      </c>
      <c r="F11" s="7" t="s">
        <v>26</v>
      </c>
      <c r="G11" s="8" t="s">
        <v>27</v>
      </c>
      <c r="H11" s="9"/>
      <c r="I11" s="10"/>
      <c r="J11" s="7" t="s">
        <v>26</v>
      </c>
      <c r="K11" s="8" t="s">
        <v>27</v>
      </c>
      <c r="L11" s="9"/>
      <c r="M11" s="10"/>
      <c r="N11" s="11" t="str">
        <f>IF(OR(H11="",L11=""),"",IF(AND(H11=F11,L11=J11),"Yes","No"))</f>
        <v/>
      </c>
    </row>
    <row r="12" ht="30" customHeight="1" spans="1:14" x14ac:dyDescent="0.25">
      <c r="A12" s="7" t="s">
        <v>46</v>
      </c>
      <c r="B12" s="7" t="s">
        <v>47</v>
      </c>
      <c r="C12" s="8" t="s">
        <v>48</v>
      </c>
      <c r="D12" s="7" t="s">
        <v>49</v>
      </c>
      <c r="E12" s="7" t="s">
        <v>50</v>
      </c>
      <c r="F12" s="7" t="s">
        <v>26</v>
      </c>
      <c r="G12" s="8" t="s">
        <v>27</v>
      </c>
      <c r="H12" s="9"/>
      <c r="I12" s="10"/>
      <c r="J12" s="7" t="s">
        <v>26</v>
      </c>
      <c r="K12" s="8" t="s">
        <v>27</v>
      </c>
      <c r="L12" s="9"/>
      <c r="M12" s="10"/>
      <c r="N12" s="11" t="str">
        <f>IF(OR(H12="",L12=""),"",IF(AND(H12=F12,L12=J12),"Yes","No"))</f>
        <v/>
      </c>
    </row>
    <row r="13" ht="45" customHeight="1" spans="1:14" x14ac:dyDescent="0.25">
      <c r="A13" s="7" t="s">
        <v>51</v>
      </c>
      <c r="B13" s="7" t="s">
        <v>47</v>
      </c>
      <c r="C13" s="8" t="s">
        <v>52</v>
      </c>
      <c r="D13" s="7" t="s">
        <v>49</v>
      </c>
      <c r="E13" s="7" t="s">
        <v>50</v>
      </c>
      <c r="F13" s="7" t="s">
        <v>26</v>
      </c>
      <c r="G13" s="8" t="s">
        <v>27</v>
      </c>
      <c r="H13" s="9"/>
      <c r="I13" s="10"/>
      <c r="J13" s="7" t="s">
        <v>26</v>
      </c>
      <c r="K13" s="8" t="s">
        <v>53</v>
      </c>
      <c r="L13" s="9"/>
      <c r="M13" s="10"/>
      <c r="N13" s="11" t="str">
        <f>IF(OR(H13="",L13=""),"",IF(AND(H13=F13,L13=J13),"Yes","No"))</f>
        <v/>
      </c>
    </row>
    <row r="14" ht="45" customHeight="1" spans="1:14" x14ac:dyDescent="0.25">
      <c r="A14" s="7" t="s">
        <v>54</v>
      </c>
      <c r="B14" s="7" t="s">
        <v>47</v>
      </c>
      <c r="C14" s="8" t="s">
        <v>55</v>
      </c>
      <c r="D14" s="7" t="s">
        <v>49</v>
      </c>
      <c r="E14" s="7" t="s">
        <v>50</v>
      </c>
      <c r="F14" s="7" t="s">
        <v>26</v>
      </c>
      <c r="G14" s="8" t="s">
        <v>27</v>
      </c>
      <c r="H14" s="9"/>
      <c r="I14" s="10"/>
      <c r="J14" s="7" t="s">
        <v>26</v>
      </c>
      <c r="K14" s="8" t="s">
        <v>56</v>
      </c>
      <c r="L14" s="9"/>
      <c r="M14" s="10"/>
      <c r="N14" s="11" t="str">
        <f>IF(OR(H14="",L14=""),"",IF(AND(H14=F14,L14=J14),"Yes","No"))</f>
        <v/>
      </c>
    </row>
    <row r="15" ht="45" customHeight="1" spans="1:14" x14ac:dyDescent="0.25">
      <c r="A15" s="7" t="s">
        <v>57</v>
      </c>
      <c r="B15" s="7" t="s">
        <v>47</v>
      </c>
      <c r="C15" s="8" t="s">
        <v>58</v>
      </c>
      <c r="D15" s="7" t="s">
        <v>49</v>
      </c>
      <c r="E15" s="7" t="s">
        <v>50</v>
      </c>
      <c r="F15" s="7" t="s">
        <v>26</v>
      </c>
      <c r="G15" s="8" t="s">
        <v>27</v>
      </c>
      <c r="H15" s="9"/>
      <c r="I15" s="10"/>
      <c r="J15" s="7" t="s">
        <v>26</v>
      </c>
      <c r="K15" s="8" t="s">
        <v>59</v>
      </c>
      <c r="L15" s="9"/>
      <c r="M15" s="10"/>
      <c r="N15" s="11" t="str">
        <f>IF(OR(H15="",L15=""),"",IF(AND(H15=F15,L15=J15),"Yes","No"))</f>
        <v/>
      </c>
    </row>
    <row r="16" ht="45" customHeight="1" spans="1:14" x14ac:dyDescent="0.25">
      <c r="A16" s="7" t="s">
        <v>60</v>
      </c>
      <c r="B16" s="7" t="s">
        <v>47</v>
      </c>
      <c r="C16" s="8" t="s">
        <v>61</v>
      </c>
      <c r="D16" s="7" t="s">
        <v>49</v>
      </c>
      <c r="E16" s="7" t="s">
        <v>50</v>
      </c>
      <c r="F16" s="7" t="s">
        <v>26</v>
      </c>
      <c r="G16" s="8" t="s">
        <v>27</v>
      </c>
      <c r="H16" s="9"/>
      <c r="I16" s="10"/>
      <c r="J16" s="7" t="s">
        <v>26</v>
      </c>
      <c r="K16" s="8" t="s">
        <v>62</v>
      </c>
      <c r="L16" s="9"/>
      <c r="M16" s="10"/>
      <c r="N16" s="11" t="str">
        <f>IF(OR(H16="",L16=""),"",IF(AND(H16=F16,L16=J16),"Yes","No"))</f>
        <v/>
      </c>
    </row>
    <row r="17" ht="45" customHeight="1" spans="1:14" x14ac:dyDescent="0.25">
      <c r="A17" s="7" t="s">
        <v>63</v>
      </c>
      <c r="B17" s="7" t="s">
        <v>47</v>
      </c>
      <c r="C17" s="8" t="s">
        <v>64</v>
      </c>
      <c r="D17" s="7" t="s">
        <v>49</v>
      </c>
      <c r="E17" s="7" t="s">
        <v>50</v>
      </c>
      <c r="F17" s="7" t="s">
        <v>26</v>
      </c>
      <c r="G17" s="8" t="s">
        <v>27</v>
      </c>
      <c r="H17" s="9"/>
      <c r="I17" s="10"/>
      <c r="J17" s="7" t="s">
        <v>26</v>
      </c>
      <c r="K17" s="8" t="s">
        <v>65</v>
      </c>
      <c r="L17" s="9"/>
      <c r="M17" s="10"/>
      <c r="N17" s="11" t="str">
        <f>IF(OR(H17="",L17=""),"",IF(AND(H17=F17,L17=J17),"Yes","No"))</f>
        <v/>
      </c>
    </row>
    <row r="18" ht="45" customHeight="1" spans="1:14" x14ac:dyDescent="0.25">
      <c r="A18" s="7" t="s">
        <v>66</v>
      </c>
      <c r="B18" s="7" t="s">
        <v>47</v>
      </c>
      <c r="C18" s="8" t="s">
        <v>67</v>
      </c>
      <c r="D18" s="7" t="s">
        <v>49</v>
      </c>
      <c r="E18" s="7" t="s">
        <v>50</v>
      </c>
      <c r="F18" s="7" t="s">
        <v>26</v>
      </c>
      <c r="G18" s="8" t="s">
        <v>27</v>
      </c>
      <c r="H18" s="9"/>
      <c r="I18" s="10"/>
      <c r="J18" s="7" t="s">
        <v>26</v>
      </c>
      <c r="K18" s="8" t="s">
        <v>68</v>
      </c>
      <c r="L18" s="9"/>
      <c r="M18" s="10"/>
      <c r="N18" s="11" t="str">
        <f>IF(OR(H18="",L18=""),"",IF(AND(H18=F18,L18=J18),"Yes","No"))</f>
        <v/>
      </c>
    </row>
    <row r="19" ht="15" customHeight="1" spans="1:14" x14ac:dyDescent="0.25">
      <c r="A19" s="7" t="s">
        <v>69</v>
      </c>
      <c r="B19" s="7" t="s">
        <v>70</v>
      </c>
      <c r="C19" s="8" t="s">
        <v>71</v>
      </c>
      <c r="D19" s="7" t="s">
        <v>24</v>
      </c>
      <c r="E19" s="7" t="s">
        <v>25</v>
      </c>
      <c r="F19" s="7" t="s">
        <v>26</v>
      </c>
      <c r="G19" s="8" t="s">
        <v>27</v>
      </c>
      <c r="H19" s="9"/>
      <c r="I19" s="10"/>
      <c r="J19" s="7" t="s">
        <v>26</v>
      </c>
      <c r="K19" s="8" t="s">
        <v>27</v>
      </c>
      <c r="L19" s="9"/>
      <c r="M19" s="10"/>
      <c r="N19" s="11" t="str">
        <f>IF(OR(H19="",L19=""),"",IF(AND(H19=F19,L19=J19),"Yes","No"))</f>
        <v/>
      </c>
    </row>
    <row r="20" ht="30" customHeight="1" spans="1:14" x14ac:dyDescent="0.25">
      <c r="A20" s="7" t="s">
        <v>72</v>
      </c>
      <c r="B20" s="7" t="s">
        <v>70</v>
      </c>
      <c r="C20" s="8" t="s">
        <v>73</v>
      </c>
      <c r="D20" s="7" t="s">
        <v>30</v>
      </c>
      <c r="E20" s="7" t="s">
        <v>25</v>
      </c>
      <c r="F20" s="7" t="s">
        <v>26</v>
      </c>
      <c r="G20" s="8" t="s">
        <v>27</v>
      </c>
      <c r="H20" s="9"/>
      <c r="I20" s="10"/>
      <c r="J20" s="7" t="s">
        <v>26</v>
      </c>
      <c r="K20" s="8" t="s">
        <v>27</v>
      </c>
      <c r="L20" s="9"/>
      <c r="M20" s="10"/>
      <c r="N20" s="11" t="str">
        <f>IF(OR(H20="",L20=""),"",IF(AND(H20=F20,L20=J20),"Yes","No"))</f>
        <v/>
      </c>
    </row>
    <row r="21" ht="15" customHeight="1" spans="1:14" x14ac:dyDescent="0.25">
      <c r="A21" s="7" t="s">
        <v>74</v>
      </c>
      <c r="B21" s="7" t="s">
        <v>75</v>
      </c>
      <c r="C21" s="8" t="s">
        <v>76</v>
      </c>
      <c r="D21" s="7" t="s">
        <v>24</v>
      </c>
      <c r="E21" s="7" t="s">
        <v>25</v>
      </c>
      <c r="F21" s="7" t="s">
        <v>26</v>
      </c>
      <c r="G21" s="8" t="s">
        <v>27</v>
      </c>
      <c r="H21" s="9"/>
      <c r="I21" s="10"/>
      <c r="J21" s="7" t="s">
        <v>26</v>
      </c>
      <c r="K21" s="8" t="s">
        <v>27</v>
      </c>
      <c r="L21" s="9"/>
      <c r="M21" s="10"/>
      <c r="N21" s="11" t="str">
        <f>IF(OR(H21="",L21=""),"",IF(AND(H21=F21,L21=J21),"Yes","No"))</f>
        <v/>
      </c>
    </row>
    <row r="22" ht="15" customHeight="1" spans="1:14" x14ac:dyDescent="0.25">
      <c r="A22" s="7" t="s">
        <v>77</v>
      </c>
      <c r="B22" s="7" t="s">
        <v>75</v>
      </c>
      <c r="C22" s="8" t="s">
        <v>78</v>
      </c>
      <c r="D22" s="7" t="s">
        <v>30</v>
      </c>
      <c r="E22" s="7" t="s">
        <v>25</v>
      </c>
      <c r="F22" s="7" t="s">
        <v>26</v>
      </c>
      <c r="G22" s="8" t="s">
        <v>27</v>
      </c>
      <c r="H22" s="9"/>
      <c r="I22" s="10"/>
      <c r="J22" s="7" t="s">
        <v>26</v>
      </c>
      <c r="K22" s="8" t="s">
        <v>27</v>
      </c>
      <c r="L22" s="9"/>
      <c r="M22" s="10"/>
      <c r="N22" s="11" t="str">
        <f>IF(OR(H22="",L22=""),"",IF(AND(H22=F22,L22=J22),"Yes","No"))</f>
        <v/>
      </c>
    </row>
    <row r="23" ht="30" customHeight="1" spans="1:14" x14ac:dyDescent="0.25">
      <c r="A23" s="7" t="s">
        <v>79</v>
      </c>
      <c r="B23" s="7" t="s">
        <v>75</v>
      </c>
      <c r="C23" s="8" t="s">
        <v>80</v>
      </c>
      <c r="D23" s="7" t="s">
        <v>39</v>
      </c>
      <c r="E23" s="7" t="s">
        <v>25</v>
      </c>
      <c r="F23" s="7" t="s">
        <v>26</v>
      </c>
      <c r="G23" s="8" t="s">
        <v>27</v>
      </c>
      <c r="H23" s="9"/>
      <c r="I23" s="10"/>
      <c r="J23" s="7" t="s">
        <v>26</v>
      </c>
      <c r="K23" s="8" t="s">
        <v>27</v>
      </c>
      <c r="L23" s="9"/>
      <c r="M23" s="10"/>
      <c r="N23" s="11" t="str">
        <f>IF(OR(H23="",L23=""),"",IF(AND(H23=F23,L23=J23),"Yes","No"))</f>
        <v/>
      </c>
    </row>
    <row r="24" ht="45" customHeight="1" spans="1:14" x14ac:dyDescent="0.25">
      <c r="A24" s="7" t="s">
        <v>81</v>
      </c>
      <c r="B24" s="7" t="s">
        <v>75</v>
      </c>
      <c r="C24" s="8" t="s">
        <v>82</v>
      </c>
      <c r="D24" s="7" t="s">
        <v>39</v>
      </c>
      <c r="E24" s="7" t="s">
        <v>40</v>
      </c>
      <c r="F24" s="7" t="s">
        <v>26</v>
      </c>
      <c r="G24" s="8" t="s">
        <v>27</v>
      </c>
      <c r="H24" s="9"/>
      <c r="I24" s="10"/>
      <c r="J24" s="7" t="s">
        <v>26</v>
      </c>
      <c r="K24" s="8" t="s">
        <v>83</v>
      </c>
      <c r="L24" s="9"/>
      <c r="M24" s="10"/>
      <c r="N24" s="11" t="str">
        <f>IF(OR(H24="",L24=""),"",IF(AND(H24=F24,L24=J24),"Yes","No"))</f>
        <v/>
      </c>
    </row>
    <row r="25" ht="75" customHeight="1" spans="1:14" x14ac:dyDescent="0.25">
      <c r="A25" s="7" t="s">
        <v>84</v>
      </c>
      <c r="B25" s="7" t="s">
        <v>75</v>
      </c>
      <c r="C25" s="8" t="s">
        <v>85</v>
      </c>
      <c r="D25" s="7" t="s">
        <v>39</v>
      </c>
      <c r="E25" s="7" t="s">
        <v>25</v>
      </c>
      <c r="F25" s="7" t="s">
        <v>26</v>
      </c>
      <c r="G25" s="8" t="s">
        <v>27</v>
      </c>
      <c r="H25" s="9"/>
      <c r="I25" s="10"/>
      <c r="J25" s="7" t="s">
        <v>26</v>
      </c>
      <c r="K25" s="8" t="s">
        <v>86</v>
      </c>
      <c r="L25" s="9"/>
      <c r="M25" s="10"/>
      <c r="N25" s="11" t="str">
        <f>IF(OR(H25="",L25=""),"",IF(AND(H25=F25,L25=J25),"Yes","No"))</f>
        <v/>
      </c>
    </row>
    <row r="26" ht="75" customHeight="1" spans="1:14" x14ac:dyDescent="0.25">
      <c r="A26" s="7" t="s">
        <v>87</v>
      </c>
      <c r="B26" s="7" t="s">
        <v>75</v>
      </c>
      <c r="C26" s="8" t="s">
        <v>88</v>
      </c>
      <c r="D26" s="7" t="s">
        <v>39</v>
      </c>
      <c r="E26" s="7" t="s">
        <v>25</v>
      </c>
      <c r="F26" s="7" t="s">
        <v>26</v>
      </c>
      <c r="G26" s="8" t="s">
        <v>27</v>
      </c>
      <c r="H26" s="9"/>
      <c r="I26" s="10"/>
      <c r="J26" s="7" t="s">
        <v>26</v>
      </c>
      <c r="K26" s="8" t="s">
        <v>89</v>
      </c>
      <c r="L26" s="9"/>
      <c r="M26" s="10"/>
      <c r="N26" s="11" t="str">
        <f>IF(OR(H26="",L26=""),"",IF(AND(H26=F26,L26=J26),"Yes","No"))</f>
        <v/>
      </c>
    </row>
    <row r="27" ht="75" customHeight="1" spans="1:14" x14ac:dyDescent="0.25">
      <c r="A27" s="7" t="s">
        <v>90</v>
      </c>
      <c r="B27" s="7" t="s">
        <v>75</v>
      </c>
      <c r="C27" s="8" t="s">
        <v>91</v>
      </c>
      <c r="D27" s="7" t="s">
        <v>39</v>
      </c>
      <c r="E27" s="7" t="s">
        <v>25</v>
      </c>
      <c r="F27" s="7" t="s">
        <v>26</v>
      </c>
      <c r="G27" s="8" t="s">
        <v>27</v>
      </c>
      <c r="H27" s="9"/>
      <c r="I27" s="10"/>
      <c r="J27" s="7" t="s">
        <v>26</v>
      </c>
      <c r="K27" s="8" t="s">
        <v>92</v>
      </c>
      <c r="L27" s="9"/>
      <c r="M27" s="10"/>
      <c r="N27" s="11" t="str">
        <f>IF(OR(H27="",L27=""),"",IF(AND(H27=F27,L27=J27),"Yes","No"))</f>
        <v/>
      </c>
    </row>
    <row r="28" ht="45" customHeight="1" spans="1:14" x14ac:dyDescent="0.25">
      <c r="A28" s="7" t="s">
        <v>93</v>
      </c>
      <c r="B28" s="7" t="s">
        <v>75</v>
      </c>
      <c r="C28" s="8" t="s">
        <v>94</v>
      </c>
      <c r="D28" s="7" t="s">
        <v>30</v>
      </c>
      <c r="E28" s="7" t="s">
        <v>40</v>
      </c>
      <c r="F28" s="7" t="s">
        <v>26</v>
      </c>
      <c r="G28" s="8" t="s">
        <v>27</v>
      </c>
      <c r="H28" s="9"/>
      <c r="I28" s="10"/>
      <c r="J28" s="7" t="s">
        <v>26</v>
      </c>
      <c r="K28" s="8" t="s">
        <v>95</v>
      </c>
      <c r="L28" s="9"/>
      <c r="M28" s="10"/>
      <c r="N28" s="11" t="str">
        <f>IF(OR(H28="",L28=""),"",IF(AND(H28=F28,L28=J28),"Yes","No"))</f>
        <v/>
      </c>
    </row>
    <row r="29" ht="15" customHeight="1" spans="1:14" x14ac:dyDescent="0.25">
      <c r="A29" s="7" t="s">
        <v>96</v>
      </c>
      <c r="B29" s="7" t="s">
        <v>75</v>
      </c>
      <c r="C29" s="8" t="s">
        <v>97</v>
      </c>
      <c r="D29" s="7" t="s">
        <v>98</v>
      </c>
      <c r="E29" s="7" t="s">
        <v>40</v>
      </c>
      <c r="F29" s="7" t="s">
        <v>26</v>
      </c>
      <c r="G29" s="8" t="s">
        <v>27</v>
      </c>
      <c r="H29" s="9"/>
      <c r="I29" s="10"/>
      <c r="J29" s="7" t="s">
        <v>26</v>
      </c>
      <c r="K29" s="8" t="s">
        <v>27</v>
      </c>
      <c r="L29" s="9"/>
      <c r="M29" s="10"/>
      <c r="N29" s="11" t="str">
        <f>IF(OR(H29="",L29=""),"",IF(AND(H29=F29,L29=J29),"Yes","No"))</f>
        <v/>
      </c>
    </row>
    <row r="30" ht="45" customHeight="1" spans="1:14" x14ac:dyDescent="0.25">
      <c r="A30" s="7" t="s">
        <v>99</v>
      </c>
      <c r="B30" s="7" t="s">
        <v>75</v>
      </c>
      <c r="C30" s="8" t="s">
        <v>100</v>
      </c>
      <c r="D30" s="7" t="s">
        <v>39</v>
      </c>
      <c r="E30" s="7" t="s">
        <v>40</v>
      </c>
      <c r="F30" s="7" t="s">
        <v>26</v>
      </c>
      <c r="G30" s="8" t="s">
        <v>27</v>
      </c>
      <c r="H30" s="9"/>
      <c r="I30" s="10"/>
      <c r="J30" s="7" t="s">
        <v>26</v>
      </c>
      <c r="K30" s="8" t="s">
        <v>101</v>
      </c>
      <c r="L30" s="9"/>
      <c r="M30" s="10"/>
      <c r="N30" s="11" t="str">
        <f>IF(OR(H30="",L30=""),"",IF(AND(H30=F30,L30=J30),"Yes","No"))</f>
        <v/>
      </c>
    </row>
    <row r="31" ht="45" customHeight="1" spans="1:14" x14ac:dyDescent="0.25">
      <c r="A31" s="7" t="s">
        <v>102</v>
      </c>
      <c r="B31" s="7" t="s">
        <v>75</v>
      </c>
      <c r="C31" s="8" t="s">
        <v>103</v>
      </c>
      <c r="D31" s="7" t="s">
        <v>104</v>
      </c>
      <c r="E31" s="7" t="s">
        <v>50</v>
      </c>
      <c r="F31" s="7" t="s">
        <v>26</v>
      </c>
      <c r="G31" s="8" t="s">
        <v>27</v>
      </c>
      <c r="H31" s="9"/>
      <c r="I31" s="10"/>
      <c r="J31" s="7" t="s">
        <v>26</v>
      </c>
      <c r="K31" s="8" t="s">
        <v>105</v>
      </c>
      <c r="L31" s="9"/>
      <c r="M31" s="10"/>
      <c r="N31" s="11" t="str">
        <f>IF(OR(H31="",L31=""),"",IF(AND(H31=F31,L31=J31),"Yes","No"))</f>
        <v/>
      </c>
    </row>
    <row r="32" ht="45" customHeight="1" spans="1:14" x14ac:dyDescent="0.25">
      <c r="A32" s="7" t="s">
        <v>106</v>
      </c>
      <c r="B32" s="7" t="s">
        <v>75</v>
      </c>
      <c r="C32" s="8" t="s">
        <v>107</v>
      </c>
      <c r="D32" s="7" t="s">
        <v>39</v>
      </c>
      <c r="E32" s="7" t="s">
        <v>40</v>
      </c>
      <c r="F32" s="7" t="s">
        <v>26</v>
      </c>
      <c r="G32" s="8" t="s">
        <v>27</v>
      </c>
      <c r="H32" s="9"/>
      <c r="I32" s="10"/>
      <c r="J32" s="7" t="s">
        <v>26</v>
      </c>
      <c r="K32" s="8" t="s">
        <v>108</v>
      </c>
      <c r="L32" s="9"/>
      <c r="M32" s="10"/>
      <c r="N32" s="11" t="str">
        <f>IF(OR(H32="",L32=""),"",IF(AND(H32=F32,L32=J32),"Yes","No"))</f>
        <v/>
      </c>
    </row>
    <row r="33" ht="30" customHeight="1" spans="1:14" x14ac:dyDescent="0.25">
      <c r="A33" s="7" t="s">
        <v>109</v>
      </c>
      <c r="B33" s="7" t="s">
        <v>75</v>
      </c>
      <c r="C33" s="8" t="s">
        <v>110</v>
      </c>
      <c r="D33" s="7" t="s">
        <v>24</v>
      </c>
      <c r="E33" s="7" t="s">
        <v>40</v>
      </c>
      <c r="F33" s="7" t="s">
        <v>26</v>
      </c>
      <c r="G33" s="8" t="s">
        <v>27</v>
      </c>
      <c r="H33" s="9"/>
      <c r="I33" s="10"/>
      <c r="J33" s="7" t="s">
        <v>26</v>
      </c>
      <c r="K33" s="8" t="s">
        <v>27</v>
      </c>
      <c r="L33" s="9"/>
      <c r="M33" s="10"/>
      <c r="N33" s="11" t="str">
        <f>IF(OR(H33="",L33=""),"",IF(AND(H33=F33,L33=J33),"Yes","No"))</f>
        <v/>
      </c>
    </row>
    <row r="34" ht="45" customHeight="1" spans="1:14" x14ac:dyDescent="0.25">
      <c r="A34" s="7" t="s">
        <v>111</v>
      </c>
      <c r="B34" s="7" t="s">
        <v>75</v>
      </c>
      <c r="C34" s="8" t="s">
        <v>112</v>
      </c>
      <c r="D34" s="7" t="s">
        <v>24</v>
      </c>
      <c r="E34" s="7" t="s">
        <v>40</v>
      </c>
      <c r="F34" s="7" t="s">
        <v>26</v>
      </c>
      <c r="G34" s="8" t="s">
        <v>27</v>
      </c>
      <c r="H34" s="9"/>
      <c r="I34" s="10"/>
      <c r="J34" s="7" t="s">
        <v>26</v>
      </c>
      <c r="K34" s="8" t="s">
        <v>113</v>
      </c>
      <c r="L34" s="9"/>
      <c r="M34" s="10"/>
      <c r="N34" s="11" t="str">
        <f>IF(OR(H34="",L34=""),"",IF(AND(H34=F34,L34=J34),"Yes","No"))</f>
        <v/>
      </c>
    </row>
    <row r="35" ht="45" customHeight="1" spans="1:14" x14ac:dyDescent="0.25">
      <c r="A35" s="7" t="s">
        <v>114</v>
      </c>
      <c r="B35" s="7" t="s">
        <v>75</v>
      </c>
      <c r="C35" s="8" t="s">
        <v>115</v>
      </c>
      <c r="D35" s="7" t="s">
        <v>24</v>
      </c>
      <c r="E35" s="7" t="s">
        <v>40</v>
      </c>
      <c r="F35" s="7" t="s">
        <v>26</v>
      </c>
      <c r="G35" s="8" t="s">
        <v>27</v>
      </c>
      <c r="H35" s="9"/>
      <c r="I35" s="10"/>
      <c r="J35" s="7" t="s">
        <v>26</v>
      </c>
      <c r="K35" s="8" t="s">
        <v>116</v>
      </c>
      <c r="L35" s="9"/>
      <c r="M35" s="10"/>
      <c r="N35" s="11" t="str">
        <f>IF(OR(H35="",L35=""),"",IF(AND(H35=F35,L35=J35),"Yes","No"))</f>
        <v/>
      </c>
    </row>
    <row r="36" ht="45" customHeight="1" spans="1:14" x14ac:dyDescent="0.25">
      <c r="A36" s="7" t="s">
        <v>117</v>
      </c>
      <c r="B36" s="7" t="s">
        <v>75</v>
      </c>
      <c r="C36" s="8" t="s">
        <v>118</v>
      </c>
      <c r="D36" s="7" t="s">
        <v>30</v>
      </c>
      <c r="E36" s="7" t="s">
        <v>50</v>
      </c>
      <c r="F36" s="7" t="s">
        <v>26</v>
      </c>
      <c r="G36" s="8" t="s">
        <v>27</v>
      </c>
      <c r="H36" s="9"/>
      <c r="I36" s="10"/>
      <c r="J36" s="7" t="s">
        <v>26</v>
      </c>
      <c r="K36" s="8" t="s">
        <v>119</v>
      </c>
      <c r="L36" s="9"/>
      <c r="M36" s="10"/>
      <c r="N36" s="11" t="str">
        <f>IF(OR(H36="",L36=""),"",IF(AND(H36=F36,L36=J36),"Yes","No"))</f>
        <v/>
      </c>
    </row>
    <row r="37" ht="30" customHeight="1" spans="1:14" x14ac:dyDescent="0.25">
      <c r="A37" s="7" t="s">
        <v>120</v>
      </c>
      <c r="B37" s="7" t="s">
        <v>75</v>
      </c>
      <c r="C37" s="8" t="s">
        <v>121</v>
      </c>
      <c r="D37" s="7" t="s">
        <v>24</v>
      </c>
      <c r="E37" s="7" t="s">
        <v>50</v>
      </c>
      <c r="F37" s="7" t="s">
        <v>26</v>
      </c>
      <c r="G37" s="8" t="s">
        <v>27</v>
      </c>
      <c r="H37" s="9"/>
      <c r="I37" s="10"/>
      <c r="J37" s="7" t="s">
        <v>26</v>
      </c>
      <c r="K37" s="8" t="s">
        <v>122</v>
      </c>
      <c r="L37" s="9"/>
      <c r="M37" s="10"/>
      <c r="N37" s="11" t="str">
        <f>IF(OR(H37="",L37=""),"",IF(AND(H37=F37,L37=J37),"Yes","No"))</f>
        <v/>
      </c>
    </row>
    <row r="38" ht="15" customHeight="1" spans="1:14" x14ac:dyDescent="0.25">
      <c r="A38" s="7" t="s">
        <v>123</v>
      </c>
      <c r="B38" s="7" t="s">
        <v>75</v>
      </c>
      <c r="C38" s="8" t="s">
        <v>124</v>
      </c>
      <c r="D38" s="7" t="s">
        <v>24</v>
      </c>
      <c r="E38" s="7" t="s">
        <v>25</v>
      </c>
      <c r="F38" s="7" t="s">
        <v>26</v>
      </c>
      <c r="G38" s="8" t="s">
        <v>27</v>
      </c>
      <c r="H38" s="9"/>
      <c r="I38" s="10"/>
      <c r="J38" s="7" t="s">
        <v>26</v>
      </c>
      <c r="K38" s="8" t="s">
        <v>27</v>
      </c>
      <c r="L38" s="9"/>
      <c r="M38" s="10"/>
      <c r="N38" s="11" t="str">
        <f>IF(OR(H38="",L38=""),"",IF(AND(H38=F38,L38=J38),"Yes","No"))</f>
        <v/>
      </c>
    </row>
    <row r="39" ht="45" customHeight="1" spans="1:14" x14ac:dyDescent="0.25">
      <c r="A39" s="7" t="s">
        <v>125</v>
      </c>
      <c r="B39" s="7" t="s">
        <v>75</v>
      </c>
      <c r="C39" s="8" t="s">
        <v>126</v>
      </c>
      <c r="D39" s="7" t="s">
        <v>127</v>
      </c>
      <c r="E39" s="7" t="s">
        <v>50</v>
      </c>
      <c r="F39" s="7" t="s">
        <v>26</v>
      </c>
      <c r="G39" s="8" t="s">
        <v>27</v>
      </c>
      <c r="H39" s="9"/>
      <c r="I39" s="10"/>
      <c r="J39" s="7" t="s">
        <v>26</v>
      </c>
      <c r="K39" s="8" t="s">
        <v>128</v>
      </c>
      <c r="L39" s="9"/>
      <c r="M39" s="10"/>
      <c r="N39" s="11" t="str">
        <f>IF(OR(H39="",L39=""),"",IF(AND(H39=F39,L39=J39),"Yes","No"))</f>
        <v/>
      </c>
    </row>
    <row r="40" ht="15" customHeight="1" spans="1:14" x14ac:dyDescent="0.25">
      <c r="A40" s="7" t="s">
        <v>129</v>
      </c>
      <c r="B40" s="7" t="s">
        <v>75</v>
      </c>
      <c r="C40" s="8" t="s">
        <v>130</v>
      </c>
      <c r="D40" s="7" t="s">
        <v>24</v>
      </c>
      <c r="E40" s="7" t="s">
        <v>25</v>
      </c>
      <c r="F40" s="7" t="s">
        <v>26</v>
      </c>
      <c r="G40" s="8" t="s">
        <v>27</v>
      </c>
      <c r="H40" s="9"/>
      <c r="I40" s="10"/>
      <c r="J40" s="7" t="s">
        <v>26</v>
      </c>
      <c r="K40" s="8" t="s">
        <v>27</v>
      </c>
      <c r="L40" s="9"/>
      <c r="M40" s="10"/>
      <c r="N40" s="11" t="str">
        <f>IF(OR(H40="",L40=""),"",IF(AND(H40=F40,L40=J40),"Yes","No"))</f>
        <v/>
      </c>
    </row>
    <row r="41" ht="45" customHeight="1" spans="1:14" x14ac:dyDescent="0.25">
      <c r="A41" s="7" t="s">
        <v>131</v>
      </c>
      <c r="B41" s="7" t="s">
        <v>75</v>
      </c>
      <c r="C41" s="8" t="s">
        <v>132</v>
      </c>
      <c r="D41" s="7" t="s">
        <v>30</v>
      </c>
      <c r="E41" s="7" t="s">
        <v>40</v>
      </c>
      <c r="F41" s="7" t="s">
        <v>26</v>
      </c>
      <c r="G41" s="8" t="s">
        <v>27</v>
      </c>
      <c r="H41" s="9"/>
      <c r="I41" s="10"/>
      <c r="J41" s="7" t="s">
        <v>26</v>
      </c>
      <c r="K41" s="8" t="s">
        <v>133</v>
      </c>
      <c r="L41" s="9"/>
      <c r="M41" s="10"/>
      <c r="N41" s="11" t="str">
        <f>IF(OR(H41="",L41=""),"",IF(AND(H41=F41,L41=J41),"Yes","No"))</f>
        <v/>
      </c>
    </row>
    <row r="42" ht="15" customHeight="1" spans="1:14" x14ac:dyDescent="0.25">
      <c r="A42" s="7" t="s">
        <v>134</v>
      </c>
      <c r="B42" s="7" t="s">
        <v>75</v>
      </c>
      <c r="C42" s="8" t="s">
        <v>135</v>
      </c>
      <c r="D42" s="7" t="s">
        <v>24</v>
      </c>
      <c r="E42" s="7" t="s">
        <v>25</v>
      </c>
      <c r="F42" s="7" t="s">
        <v>26</v>
      </c>
      <c r="G42" s="8" t="s">
        <v>27</v>
      </c>
      <c r="H42" s="9"/>
      <c r="I42" s="10"/>
      <c r="J42" s="7" t="s">
        <v>26</v>
      </c>
      <c r="K42" s="8" t="s">
        <v>27</v>
      </c>
      <c r="L42" s="9"/>
      <c r="M42" s="10"/>
      <c r="N42" s="11" t="str">
        <f>IF(OR(H42="",L42=""),"",IF(AND(H42=F42,L42=J42),"Yes","No"))</f>
        <v/>
      </c>
    </row>
    <row r="43" ht="105" customHeight="1" spans="1:14" x14ac:dyDescent="0.25">
      <c r="A43" s="7" t="s">
        <v>136</v>
      </c>
      <c r="B43" s="7" t="s">
        <v>75</v>
      </c>
      <c r="C43" s="8" t="s">
        <v>137</v>
      </c>
      <c r="D43" s="7" t="s">
        <v>24</v>
      </c>
      <c r="E43" s="7" t="s">
        <v>50</v>
      </c>
      <c r="F43" s="7" t="s">
        <v>138</v>
      </c>
      <c r="G43" s="8" t="s">
        <v>139</v>
      </c>
      <c r="H43" s="9"/>
      <c r="I43" s="10"/>
      <c r="J43" s="7" t="s">
        <v>138</v>
      </c>
      <c r="K43" s="8" t="s">
        <v>140</v>
      </c>
      <c r="L43" s="9"/>
      <c r="M43" s="10"/>
      <c r="N43" s="11" t="str">
        <f>IF(OR(H43="",L43=""),"",IF(AND(H43=F43,L43=J43),"Yes","No"))</f>
        <v/>
      </c>
    </row>
    <row r="44" ht="30" customHeight="1" spans="1:14" x14ac:dyDescent="0.25">
      <c r="A44" s="7" t="s">
        <v>141</v>
      </c>
      <c r="B44" s="7" t="s">
        <v>75</v>
      </c>
      <c r="C44" s="8" t="s">
        <v>142</v>
      </c>
      <c r="D44" s="7" t="s">
        <v>104</v>
      </c>
      <c r="E44" s="7" t="s">
        <v>50</v>
      </c>
      <c r="F44" s="7" t="s">
        <v>26</v>
      </c>
      <c r="G44" s="8" t="s">
        <v>27</v>
      </c>
      <c r="H44" s="9"/>
      <c r="I44" s="10"/>
      <c r="J44" s="7" t="s">
        <v>26</v>
      </c>
      <c r="K44" s="8" t="s">
        <v>27</v>
      </c>
      <c r="L44" s="9"/>
      <c r="M44" s="10"/>
      <c r="N44" s="11" t="str">
        <f>IF(OR(H44="",L44=""),"",IF(AND(H44=F44,L44=J44),"Yes","No"))</f>
        <v/>
      </c>
    </row>
    <row r="45" ht="15" customHeight="1" spans="1:14" x14ac:dyDescent="0.25">
      <c r="A45" s="7" t="s">
        <v>143</v>
      </c>
      <c r="B45" s="7" t="s">
        <v>144</v>
      </c>
      <c r="C45" s="8" t="s">
        <v>145</v>
      </c>
      <c r="D45" s="7" t="s">
        <v>24</v>
      </c>
      <c r="E45" s="7" t="s">
        <v>40</v>
      </c>
      <c r="F45" s="7" t="s">
        <v>26</v>
      </c>
      <c r="G45" s="8" t="s">
        <v>27</v>
      </c>
      <c r="H45" s="9"/>
      <c r="I45" s="10"/>
      <c r="J45" s="7" t="s">
        <v>26</v>
      </c>
      <c r="K45" s="8" t="s">
        <v>27</v>
      </c>
      <c r="L45" s="9"/>
      <c r="M45" s="10"/>
      <c r="N45" s="11" t="str">
        <f>IF(OR(H45="",L45=""),"",IF(AND(H45=F45,L45=J45),"Yes","No"))</f>
        <v/>
      </c>
    </row>
    <row r="46" ht="15" customHeight="1" spans="1:14" x14ac:dyDescent="0.25">
      <c r="A46" s="7" t="s">
        <v>146</v>
      </c>
      <c r="B46" s="7" t="s">
        <v>144</v>
      </c>
      <c r="C46" s="8" t="s">
        <v>147</v>
      </c>
      <c r="D46" s="7" t="s">
        <v>39</v>
      </c>
      <c r="E46" s="7" t="s">
        <v>40</v>
      </c>
      <c r="F46" s="7" t="s">
        <v>26</v>
      </c>
      <c r="G46" s="8" t="s">
        <v>27</v>
      </c>
      <c r="H46" s="9"/>
      <c r="I46" s="10"/>
      <c r="J46" s="7" t="s">
        <v>26</v>
      </c>
      <c r="K46" s="8" t="s">
        <v>27</v>
      </c>
      <c r="L46" s="9"/>
      <c r="M46" s="10"/>
      <c r="N46" s="11" t="str">
        <f>IF(OR(H46="",L46=""),"",IF(AND(H46=F46,L46=J46),"Yes","No"))</f>
        <v/>
      </c>
    </row>
    <row r="47" ht="75" customHeight="1" spans="1:14" x14ac:dyDescent="0.25">
      <c r="A47" s="7" t="s">
        <v>148</v>
      </c>
      <c r="B47" s="7" t="s">
        <v>144</v>
      </c>
      <c r="C47" s="8" t="s">
        <v>149</v>
      </c>
      <c r="D47" s="7" t="s">
        <v>30</v>
      </c>
      <c r="E47" s="7" t="s">
        <v>40</v>
      </c>
      <c r="F47" s="7" t="s">
        <v>26</v>
      </c>
      <c r="G47" s="8" t="s">
        <v>27</v>
      </c>
      <c r="H47" s="9"/>
      <c r="I47" s="10"/>
      <c r="J47" s="7" t="s">
        <v>138</v>
      </c>
      <c r="K47" s="8" t="s">
        <v>150</v>
      </c>
      <c r="L47" s="9"/>
      <c r="M47" s="10"/>
      <c r="N47" s="11" t="str">
        <f>IF(OR(H47="",L47=""),"",IF(AND(H47=F47,L47=J47),"Yes","No"))</f>
        <v/>
      </c>
    </row>
    <row r="48" ht="90" customHeight="1" spans="1:14" x14ac:dyDescent="0.25">
      <c r="A48" s="7" t="s">
        <v>151</v>
      </c>
      <c r="B48" s="7" t="s">
        <v>144</v>
      </c>
      <c r="C48" s="8" t="s">
        <v>152</v>
      </c>
      <c r="D48" s="7" t="s">
        <v>98</v>
      </c>
      <c r="E48" s="7" t="s">
        <v>50</v>
      </c>
      <c r="F48" s="7" t="s">
        <v>26</v>
      </c>
      <c r="G48" s="8" t="s">
        <v>27</v>
      </c>
      <c r="H48" s="9"/>
      <c r="I48" s="10"/>
      <c r="J48" s="7" t="s">
        <v>138</v>
      </c>
      <c r="K48" s="8" t="s">
        <v>153</v>
      </c>
      <c r="L48" s="9"/>
      <c r="M48" s="10"/>
      <c r="N48" s="11" t="str">
        <f>IF(OR(H48="",L48=""),"",IF(AND(H48=F48,L48=J48),"Yes","No"))</f>
        <v/>
      </c>
    </row>
    <row r="49" ht="75" customHeight="1" spans="1:14" x14ac:dyDescent="0.25">
      <c r="A49" s="7" t="s">
        <v>154</v>
      </c>
      <c r="B49" s="7" t="s">
        <v>144</v>
      </c>
      <c r="C49" s="8" t="s">
        <v>155</v>
      </c>
      <c r="D49" s="7" t="s">
        <v>30</v>
      </c>
      <c r="E49" s="7" t="s">
        <v>156</v>
      </c>
      <c r="F49" s="7" t="s">
        <v>138</v>
      </c>
      <c r="G49" s="8" t="s">
        <v>157</v>
      </c>
      <c r="H49" s="9"/>
      <c r="I49" s="10"/>
      <c r="J49" s="7" t="s">
        <v>138</v>
      </c>
      <c r="K49" s="8" t="s">
        <v>158</v>
      </c>
      <c r="L49" s="9"/>
      <c r="M49" s="10"/>
      <c r="N49" s="11" t="str">
        <f>IF(OR(H49="",L49=""),"",IF(AND(H49=F49,L49=J49),"Yes","No"))</f>
        <v/>
      </c>
    </row>
    <row r="50" ht="15" customHeight="1" spans="1:14" x14ac:dyDescent="0.25">
      <c r="A50" s="7" t="s">
        <v>159</v>
      </c>
      <c r="B50" s="7" t="s">
        <v>144</v>
      </c>
      <c r="C50" s="8" t="s">
        <v>160</v>
      </c>
      <c r="D50" s="7" t="s">
        <v>24</v>
      </c>
      <c r="E50" s="7" t="s">
        <v>40</v>
      </c>
      <c r="F50" s="7" t="s">
        <v>26</v>
      </c>
      <c r="G50" s="8" t="s">
        <v>27</v>
      </c>
      <c r="H50" s="9"/>
      <c r="I50" s="10"/>
      <c r="J50" s="7" t="s">
        <v>26</v>
      </c>
      <c r="K50" s="8" t="s">
        <v>27</v>
      </c>
      <c r="L50" s="9"/>
      <c r="M50" s="10"/>
      <c r="N50" s="11" t="str">
        <f>IF(OR(H50="",L50=""),"",IF(AND(H50=F50,L50=J50),"Yes","No"))</f>
        <v/>
      </c>
    </row>
    <row r="51" ht="15" customHeight="1" spans="1:14" x14ac:dyDescent="0.25">
      <c r="A51" s="7" t="s">
        <v>161</v>
      </c>
      <c r="B51" s="7" t="s">
        <v>144</v>
      </c>
      <c r="C51" s="8" t="s">
        <v>162</v>
      </c>
      <c r="D51" s="7" t="s">
        <v>30</v>
      </c>
      <c r="E51" s="7" t="s">
        <v>50</v>
      </c>
      <c r="F51" s="7" t="s">
        <v>26</v>
      </c>
      <c r="G51" s="8" t="s">
        <v>27</v>
      </c>
      <c r="H51" s="9"/>
      <c r="I51" s="10"/>
      <c r="J51" s="7" t="s">
        <v>26</v>
      </c>
      <c r="K51" s="8" t="s">
        <v>27</v>
      </c>
      <c r="L51" s="9"/>
      <c r="M51" s="10"/>
      <c r="N51" s="11" t="str">
        <f>IF(OR(H51="",L51=""),"",IF(AND(H51=F51,L51=J51),"Yes","No"))</f>
        <v/>
      </c>
    </row>
    <row r="52" ht="15" customHeight="1" spans="1:14" x14ac:dyDescent="0.25">
      <c r="A52" s="7" t="s">
        <v>163</v>
      </c>
      <c r="B52" s="7" t="s">
        <v>144</v>
      </c>
      <c r="C52" s="8" t="s">
        <v>164</v>
      </c>
      <c r="D52" s="7" t="s">
        <v>24</v>
      </c>
      <c r="E52" s="7" t="s">
        <v>40</v>
      </c>
      <c r="F52" s="7" t="s">
        <v>26</v>
      </c>
      <c r="G52" s="8" t="s">
        <v>27</v>
      </c>
      <c r="H52" s="9"/>
      <c r="I52" s="10"/>
      <c r="J52" s="7" t="s">
        <v>26</v>
      </c>
      <c r="K52" s="8" t="s">
        <v>27</v>
      </c>
      <c r="L52" s="9"/>
      <c r="M52" s="10"/>
      <c r="N52" s="11" t="str">
        <f>IF(OR(H52="",L52=""),"",IF(AND(H52=F52,L52=J52),"Yes","No"))</f>
        <v/>
      </c>
    </row>
    <row r="53" ht="30" customHeight="1" spans="1:14" x14ac:dyDescent="0.25">
      <c r="A53" s="7" t="s">
        <v>165</v>
      </c>
      <c r="B53" s="7" t="s">
        <v>144</v>
      </c>
      <c r="C53" s="8" t="s">
        <v>166</v>
      </c>
      <c r="D53" s="7" t="s">
        <v>30</v>
      </c>
      <c r="E53" s="7" t="s">
        <v>50</v>
      </c>
      <c r="F53" s="7" t="s">
        <v>26</v>
      </c>
      <c r="G53" s="8" t="s">
        <v>27</v>
      </c>
      <c r="H53" s="9"/>
      <c r="I53" s="10"/>
      <c r="J53" s="7" t="s">
        <v>26</v>
      </c>
      <c r="K53" s="8" t="s">
        <v>27</v>
      </c>
      <c r="L53" s="9"/>
      <c r="M53" s="10"/>
      <c r="N53" s="11" t="str">
        <f>IF(OR(H53="",L53=""),"",IF(AND(H53=F53,L53=J53),"Yes","No"))</f>
        <v/>
      </c>
    </row>
    <row r="54" ht="60" customHeight="1" spans="1:14" x14ac:dyDescent="0.25">
      <c r="A54" s="7" t="s">
        <v>167</v>
      </c>
      <c r="B54" s="7" t="s">
        <v>144</v>
      </c>
      <c r="C54" s="8" t="s">
        <v>168</v>
      </c>
      <c r="D54" s="7" t="s">
        <v>24</v>
      </c>
      <c r="E54" s="7" t="s">
        <v>50</v>
      </c>
      <c r="F54" s="7" t="s">
        <v>26</v>
      </c>
      <c r="G54" s="8" t="s">
        <v>27</v>
      </c>
      <c r="H54" s="9"/>
      <c r="I54" s="10"/>
      <c r="J54" s="7" t="s">
        <v>138</v>
      </c>
      <c r="K54" s="8" t="s">
        <v>169</v>
      </c>
      <c r="L54" s="9"/>
      <c r="M54" s="10"/>
      <c r="N54" s="11" t="str">
        <f>IF(OR(H54="",L54=""),"",IF(AND(H54=F54,L54=J54),"Yes","No"))</f>
        <v/>
      </c>
    </row>
    <row r="55" ht="90" customHeight="1" spans="1:14" x14ac:dyDescent="0.25">
      <c r="A55" s="7" t="s">
        <v>170</v>
      </c>
      <c r="B55" s="7" t="s">
        <v>144</v>
      </c>
      <c r="C55" s="8" t="s">
        <v>171</v>
      </c>
      <c r="D55" s="7" t="s">
        <v>30</v>
      </c>
      <c r="E55" s="7" t="s">
        <v>50</v>
      </c>
      <c r="F55" s="7" t="s">
        <v>26</v>
      </c>
      <c r="G55" s="8" t="s">
        <v>27</v>
      </c>
      <c r="H55" s="9"/>
      <c r="I55" s="10"/>
      <c r="J55" s="7" t="s">
        <v>138</v>
      </c>
      <c r="K55" s="8" t="s">
        <v>172</v>
      </c>
      <c r="L55" s="9"/>
      <c r="M55" s="10"/>
      <c r="N55" s="11" t="str">
        <f>IF(OR(H55="",L55=""),"",IF(AND(H55=F55,L55=J55),"Yes","No"))</f>
        <v/>
      </c>
    </row>
    <row r="56" ht="15" customHeight="1" spans="1:14" x14ac:dyDescent="0.25">
      <c r="A56" s="7" t="s">
        <v>173</v>
      </c>
      <c r="B56" s="7" t="s">
        <v>144</v>
      </c>
      <c r="C56" s="8" t="s">
        <v>174</v>
      </c>
      <c r="D56" s="7" t="s">
        <v>24</v>
      </c>
      <c r="E56" s="7" t="s">
        <v>156</v>
      </c>
      <c r="F56" s="7" t="s">
        <v>26</v>
      </c>
      <c r="G56" s="8" t="s">
        <v>27</v>
      </c>
      <c r="H56" s="9"/>
      <c r="I56" s="10"/>
      <c r="J56" s="7" t="s">
        <v>138</v>
      </c>
      <c r="K56" s="8" t="s">
        <v>175</v>
      </c>
      <c r="L56" s="9"/>
      <c r="M56" s="10"/>
      <c r="N56" s="11" t="str">
        <f>IF(OR(H56="",L56=""),"",IF(AND(H56=F56,L56=J56),"Yes","No"))</f>
        <v/>
      </c>
    </row>
    <row r="57" ht="15" customHeight="1" spans="1:14" x14ac:dyDescent="0.25">
      <c r="A57" s="7" t="s">
        <v>176</v>
      </c>
      <c r="B57" s="7" t="s">
        <v>144</v>
      </c>
      <c r="C57" s="8" t="s">
        <v>177</v>
      </c>
      <c r="D57" s="7" t="s">
        <v>24</v>
      </c>
      <c r="E57" s="7" t="s">
        <v>156</v>
      </c>
      <c r="F57" s="7" t="s">
        <v>26</v>
      </c>
      <c r="G57" s="8" t="s">
        <v>27</v>
      </c>
      <c r="H57" s="9"/>
      <c r="I57" s="10"/>
      <c r="J57" s="7" t="s">
        <v>138</v>
      </c>
      <c r="K57" s="8" t="s">
        <v>175</v>
      </c>
      <c r="L57" s="9"/>
      <c r="M57" s="10"/>
      <c r="N57" s="11" t="str">
        <f>IF(OR(H57="",L57=""),"",IF(AND(H57=F57,L57=J57),"Yes","No"))</f>
        <v/>
      </c>
    </row>
    <row r="58" ht="45" customHeight="1" spans="1:14" x14ac:dyDescent="0.25">
      <c r="A58" s="7" t="s">
        <v>178</v>
      </c>
      <c r="B58" s="7" t="s">
        <v>179</v>
      </c>
      <c r="C58" s="8" t="s">
        <v>180</v>
      </c>
      <c r="D58" s="7" t="s">
        <v>24</v>
      </c>
      <c r="E58" s="7" t="s">
        <v>40</v>
      </c>
      <c r="F58" s="7" t="s">
        <v>26</v>
      </c>
      <c r="G58" s="8" t="s">
        <v>27</v>
      </c>
      <c r="H58" s="9"/>
      <c r="I58" s="10"/>
      <c r="J58" s="7" t="s">
        <v>26</v>
      </c>
      <c r="K58" s="8" t="s">
        <v>181</v>
      </c>
      <c r="L58" s="9"/>
      <c r="M58" s="10"/>
      <c r="N58" s="11" t="str">
        <f>IF(OR(H58="",L58=""),"",IF(AND(H58=F58,L58=J58),"Yes","No"))</f>
        <v/>
      </c>
    </row>
    <row r="59" ht="45" customHeight="1" spans="1:14" x14ac:dyDescent="0.25">
      <c r="A59" s="7" t="s">
        <v>182</v>
      </c>
      <c r="B59" s="7" t="s">
        <v>179</v>
      </c>
      <c r="C59" s="8" t="s">
        <v>183</v>
      </c>
      <c r="D59" s="7" t="s">
        <v>39</v>
      </c>
      <c r="E59" s="7" t="s">
        <v>40</v>
      </c>
      <c r="F59" s="7" t="s">
        <v>26</v>
      </c>
      <c r="G59" s="8" t="s">
        <v>27</v>
      </c>
      <c r="H59" s="9"/>
      <c r="I59" s="10"/>
      <c r="J59" s="7" t="s">
        <v>26</v>
      </c>
      <c r="K59" s="8" t="s">
        <v>184</v>
      </c>
      <c r="L59" s="9"/>
      <c r="M59" s="10"/>
      <c r="N59" s="11" t="str">
        <f>IF(OR(H59="",L59=""),"",IF(AND(H59=F59,L59=J59),"Yes","No"))</f>
        <v/>
      </c>
    </row>
    <row r="60" ht="90" customHeight="1" spans="1:14" x14ac:dyDescent="0.25">
      <c r="A60" s="7" t="s">
        <v>185</v>
      </c>
      <c r="B60" s="7" t="s">
        <v>179</v>
      </c>
      <c r="C60" s="8" t="s">
        <v>186</v>
      </c>
      <c r="D60" s="7" t="s">
        <v>30</v>
      </c>
      <c r="E60" s="7" t="s">
        <v>40</v>
      </c>
      <c r="F60" s="7" t="s">
        <v>26</v>
      </c>
      <c r="G60" s="8" t="s">
        <v>27</v>
      </c>
      <c r="H60" s="9"/>
      <c r="I60" s="10"/>
      <c r="J60" s="7" t="s">
        <v>138</v>
      </c>
      <c r="K60" s="8" t="s">
        <v>187</v>
      </c>
      <c r="L60" s="9"/>
      <c r="M60" s="10"/>
      <c r="N60" s="11" t="str">
        <f>IF(OR(H60="",L60=""),"",IF(AND(H60=F60,L60=J60),"Yes","No"))</f>
        <v/>
      </c>
    </row>
    <row r="61" ht="90" customHeight="1" spans="1:14" x14ac:dyDescent="0.25">
      <c r="A61" s="7" t="s">
        <v>188</v>
      </c>
      <c r="B61" s="7" t="s">
        <v>179</v>
      </c>
      <c r="C61" s="8" t="s">
        <v>189</v>
      </c>
      <c r="D61" s="7" t="s">
        <v>98</v>
      </c>
      <c r="E61" s="7" t="s">
        <v>50</v>
      </c>
      <c r="F61" s="7" t="s">
        <v>26</v>
      </c>
      <c r="G61" s="8" t="s">
        <v>27</v>
      </c>
      <c r="H61" s="9"/>
      <c r="I61" s="10"/>
      <c r="J61" s="7" t="s">
        <v>138</v>
      </c>
      <c r="K61" s="8" t="s">
        <v>153</v>
      </c>
      <c r="L61" s="9"/>
      <c r="M61" s="10"/>
      <c r="N61" s="11" t="str">
        <f>IF(OR(H61="",L61=""),"",IF(AND(H61=F61,L61=J61),"Yes","No"))</f>
        <v/>
      </c>
    </row>
    <row r="62" ht="75" customHeight="1" spans="1:14" x14ac:dyDescent="0.25">
      <c r="A62" s="7" t="s">
        <v>190</v>
      </c>
      <c r="B62" s="7" t="s">
        <v>179</v>
      </c>
      <c r="C62" s="8" t="s">
        <v>191</v>
      </c>
      <c r="D62" s="7" t="s">
        <v>30</v>
      </c>
      <c r="E62" s="7" t="s">
        <v>156</v>
      </c>
      <c r="F62" s="7" t="s">
        <v>138</v>
      </c>
      <c r="G62" s="8" t="s">
        <v>157</v>
      </c>
      <c r="H62" s="9"/>
      <c r="I62" s="10"/>
      <c r="J62" s="7" t="s">
        <v>138</v>
      </c>
      <c r="K62" s="8" t="s">
        <v>158</v>
      </c>
      <c r="L62" s="9"/>
      <c r="M62" s="10"/>
      <c r="N62" s="11" t="str">
        <f>IF(OR(H62="",L62=""),"",IF(AND(H62=F62,L62=J62),"Yes","No"))</f>
        <v/>
      </c>
    </row>
    <row r="63" ht="45" customHeight="1" spans="1:14" x14ac:dyDescent="0.25">
      <c r="A63" s="7" t="s">
        <v>192</v>
      </c>
      <c r="B63" s="7" t="s">
        <v>179</v>
      </c>
      <c r="C63" s="8" t="s">
        <v>193</v>
      </c>
      <c r="D63" s="7" t="s">
        <v>24</v>
      </c>
      <c r="E63" s="7" t="s">
        <v>40</v>
      </c>
      <c r="F63" s="7" t="s">
        <v>26</v>
      </c>
      <c r="G63" s="8" t="s">
        <v>27</v>
      </c>
      <c r="H63" s="9"/>
      <c r="I63" s="10"/>
      <c r="J63" s="7" t="s">
        <v>26</v>
      </c>
      <c r="K63" s="8" t="s">
        <v>194</v>
      </c>
      <c r="L63" s="9"/>
      <c r="M63" s="10"/>
      <c r="N63" s="11" t="str">
        <f>IF(OR(H63="",L63=""),"",IF(AND(H63=F63,L63=J63),"Yes","No"))</f>
        <v/>
      </c>
    </row>
    <row r="64" ht="45" customHeight="1" spans="1:14" x14ac:dyDescent="0.25">
      <c r="A64" s="7" t="s">
        <v>195</v>
      </c>
      <c r="B64" s="7" t="s">
        <v>179</v>
      </c>
      <c r="C64" s="8" t="s">
        <v>196</v>
      </c>
      <c r="D64" s="7" t="s">
        <v>30</v>
      </c>
      <c r="E64" s="7" t="s">
        <v>50</v>
      </c>
      <c r="F64" s="7" t="s">
        <v>26</v>
      </c>
      <c r="G64" s="8" t="s">
        <v>27</v>
      </c>
      <c r="H64" s="9"/>
      <c r="I64" s="10"/>
      <c r="J64" s="7" t="s">
        <v>26</v>
      </c>
      <c r="K64" s="8" t="s">
        <v>197</v>
      </c>
      <c r="L64" s="9"/>
      <c r="M64" s="10"/>
      <c r="N64" s="11" t="str">
        <f>IF(OR(H64="",L64=""),"",IF(AND(H64=F64,L64=J64),"Yes","No"))</f>
        <v/>
      </c>
    </row>
    <row r="65" ht="45" customHeight="1" spans="1:14" x14ac:dyDescent="0.25">
      <c r="A65" s="7" t="s">
        <v>198</v>
      </c>
      <c r="B65" s="7" t="s">
        <v>179</v>
      </c>
      <c r="C65" s="8" t="s">
        <v>199</v>
      </c>
      <c r="D65" s="7" t="s">
        <v>24</v>
      </c>
      <c r="E65" s="7" t="s">
        <v>40</v>
      </c>
      <c r="F65" s="7" t="s">
        <v>26</v>
      </c>
      <c r="G65" s="8" t="s">
        <v>27</v>
      </c>
      <c r="H65" s="9"/>
      <c r="I65" s="10"/>
      <c r="J65" s="7" t="s">
        <v>26</v>
      </c>
      <c r="K65" s="8" t="s">
        <v>200</v>
      </c>
      <c r="L65" s="9"/>
      <c r="M65" s="10"/>
      <c r="N65" s="11" t="str">
        <f>IF(OR(H65="",L65=""),"",IF(AND(H65=F65,L65=J65),"Yes","No"))</f>
        <v/>
      </c>
    </row>
    <row r="66" ht="45" customHeight="1" spans="1:14" x14ac:dyDescent="0.25">
      <c r="A66" s="7" t="s">
        <v>201</v>
      </c>
      <c r="B66" s="7" t="s">
        <v>179</v>
      </c>
      <c r="C66" s="8" t="s">
        <v>202</v>
      </c>
      <c r="D66" s="7" t="s">
        <v>30</v>
      </c>
      <c r="E66" s="7" t="s">
        <v>50</v>
      </c>
      <c r="F66" s="7" t="s">
        <v>26</v>
      </c>
      <c r="G66" s="8" t="s">
        <v>27</v>
      </c>
      <c r="H66" s="9"/>
      <c r="I66" s="10"/>
      <c r="J66" s="7" t="s">
        <v>26</v>
      </c>
      <c r="K66" s="8" t="s">
        <v>203</v>
      </c>
      <c r="L66" s="9"/>
      <c r="M66" s="10"/>
      <c r="N66" s="11" t="str">
        <f>IF(OR(H66="",L66=""),"",IF(AND(H66=F66,L66=J66),"Yes","No"))</f>
        <v/>
      </c>
    </row>
    <row r="67" ht="30" customHeight="1" spans="1:14" x14ac:dyDescent="0.25">
      <c r="A67" s="7" t="s">
        <v>204</v>
      </c>
      <c r="B67" s="7" t="s">
        <v>179</v>
      </c>
      <c r="C67" s="8" t="s">
        <v>205</v>
      </c>
      <c r="D67" s="7" t="s">
        <v>98</v>
      </c>
      <c r="E67" s="7" t="s">
        <v>40</v>
      </c>
      <c r="F67" s="7" t="s">
        <v>26</v>
      </c>
      <c r="G67" s="8" t="s">
        <v>27</v>
      </c>
      <c r="H67" s="9"/>
      <c r="I67" s="10"/>
      <c r="J67" s="7" t="s">
        <v>26</v>
      </c>
      <c r="K67" s="8" t="s">
        <v>27</v>
      </c>
      <c r="L67" s="9"/>
      <c r="M67" s="10"/>
      <c r="N67" s="11" t="str">
        <f>IF(OR(H67="",L67=""),"",IF(AND(H67=F67,L67=J67),"Yes","No"))</f>
        <v/>
      </c>
    </row>
    <row r="68" ht="45" customHeight="1" spans="1:14" x14ac:dyDescent="0.25">
      <c r="A68" s="7" t="s">
        <v>206</v>
      </c>
      <c r="B68" s="7" t="s">
        <v>179</v>
      </c>
      <c r="C68" s="8" t="s">
        <v>207</v>
      </c>
      <c r="D68" s="7" t="s">
        <v>30</v>
      </c>
      <c r="E68" s="7" t="s">
        <v>50</v>
      </c>
      <c r="F68" s="7" t="s">
        <v>26</v>
      </c>
      <c r="G68" s="8" t="s">
        <v>27</v>
      </c>
      <c r="H68" s="9"/>
      <c r="I68" s="10"/>
      <c r="J68" s="7" t="s">
        <v>138</v>
      </c>
      <c r="K68" s="8" t="s">
        <v>208</v>
      </c>
      <c r="L68" s="9"/>
      <c r="M68" s="10"/>
      <c r="N68" s="11" t="str">
        <f>IF(OR(H68="",L68=""),"",IF(AND(H68=F68,L68=J68),"Yes","No"))</f>
        <v/>
      </c>
    </row>
    <row r="69" ht="45" customHeight="1" spans="1:14" x14ac:dyDescent="0.25">
      <c r="A69" s="7" t="s">
        <v>209</v>
      </c>
      <c r="B69" s="7" t="s">
        <v>179</v>
      </c>
      <c r="C69" s="8" t="s">
        <v>210</v>
      </c>
      <c r="D69" s="7" t="s">
        <v>24</v>
      </c>
      <c r="E69" s="7" t="s">
        <v>50</v>
      </c>
      <c r="F69" s="7" t="s">
        <v>26</v>
      </c>
      <c r="G69" s="8" t="s">
        <v>27</v>
      </c>
      <c r="H69" s="9"/>
      <c r="I69" s="10"/>
      <c r="J69" s="7" t="s">
        <v>26</v>
      </c>
      <c r="K69" s="8" t="s">
        <v>211</v>
      </c>
      <c r="L69" s="9"/>
      <c r="M69" s="10"/>
      <c r="N69" s="11" t="str">
        <f>IF(OR(H69="",L69=""),"",IF(AND(H69=F69,L69=J69),"Yes","No"))</f>
        <v/>
      </c>
    </row>
    <row r="70" ht="45" customHeight="1" spans="1:14" x14ac:dyDescent="0.25">
      <c r="A70" s="7" t="s">
        <v>212</v>
      </c>
      <c r="B70" s="7" t="s">
        <v>213</v>
      </c>
      <c r="C70" s="8" t="s">
        <v>214</v>
      </c>
      <c r="D70" s="7" t="s">
        <v>24</v>
      </c>
      <c r="E70" s="7" t="s">
        <v>40</v>
      </c>
      <c r="F70" s="7" t="s">
        <v>26</v>
      </c>
      <c r="G70" s="8" t="s">
        <v>27</v>
      </c>
      <c r="H70" s="9"/>
      <c r="I70" s="10"/>
      <c r="J70" s="7" t="s">
        <v>26</v>
      </c>
      <c r="K70" s="8" t="s">
        <v>215</v>
      </c>
      <c r="L70" s="9"/>
      <c r="M70" s="10"/>
      <c r="N70" s="11" t="str">
        <f>IF(OR(H70="",L70=""),"",IF(AND(H70=F70,L70=J70),"Yes","No"))</f>
        <v/>
      </c>
    </row>
    <row r="71" ht="45" customHeight="1" spans="1:14" x14ac:dyDescent="0.25">
      <c r="A71" s="7" t="s">
        <v>216</v>
      </c>
      <c r="B71" s="7" t="s">
        <v>213</v>
      </c>
      <c r="C71" s="8" t="s">
        <v>217</v>
      </c>
      <c r="D71" s="7" t="s">
        <v>39</v>
      </c>
      <c r="E71" s="7" t="s">
        <v>40</v>
      </c>
      <c r="F71" s="7" t="s">
        <v>26</v>
      </c>
      <c r="G71" s="8" t="s">
        <v>27</v>
      </c>
      <c r="H71" s="9"/>
      <c r="I71" s="10"/>
      <c r="J71" s="7" t="s">
        <v>26</v>
      </c>
      <c r="K71" s="8" t="s">
        <v>218</v>
      </c>
      <c r="L71" s="9"/>
      <c r="M71" s="10"/>
      <c r="N71" s="11" t="str">
        <f>IF(OR(H71="",L71=""),"",IF(AND(H71=F71,L71=J71),"Yes","No"))</f>
        <v/>
      </c>
    </row>
    <row r="72" ht="75" customHeight="1" spans="1:14" x14ac:dyDescent="0.25">
      <c r="A72" s="7" t="s">
        <v>219</v>
      </c>
      <c r="B72" s="7" t="s">
        <v>213</v>
      </c>
      <c r="C72" s="8" t="s">
        <v>220</v>
      </c>
      <c r="D72" s="7" t="s">
        <v>30</v>
      </c>
      <c r="E72" s="7" t="s">
        <v>40</v>
      </c>
      <c r="F72" s="7" t="s">
        <v>26</v>
      </c>
      <c r="G72" s="8" t="s">
        <v>27</v>
      </c>
      <c r="H72" s="9"/>
      <c r="I72" s="10"/>
      <c r="J72" s="7" t="s">
        <v>138</v>
      </c>
      <c r="K72" s="8" t="s">
        <v>221</v>
      </c>
      <c r="L72" s="9"/>
      <c r="M72" s="10"/>
      <c r="N72" s="11" t="str">
        <f>IF(OR(H72="",L72=""),"",IF(AND(H72=F72,L72=J72),"Yes","No"))</f>
        <v/>
      </c>
    </row>
    <row r="73" ht="90" customHeight="1" spans="1:14" x14ac:dyDescent="0.25">
      <c r="A73" s="7" t="s">
        <v>222</v>
      </c>
      <c r="B73" s="7" t="s">
        <v>213</v>
      </c>
      <c r="C73" s="8" t="s">
        <v>223</v>
      </c>
      <c r="D73" s="7" t="s">
        <v>98</v>
      </c>
      <c r="E73" s="7" t="s">
        <v>50</v>
      </c>
      <c r="F73" s="7" t="s">
        <v>26</v>
      </c>
      <c r="G73" s="8" t="s">
        <v>27</v>
      </c>
      <c r="H73" s="9"/>
      <c r="I73" s="10"/>
      <c r="J73" s="7" t="s">
        <v>138</v>
      </c>
      <c r="K73" s="8" t="s">
        <v>153</v>
      </c>
      <c r="L73" s="9"/>
      <c r="M73" s="10"/>
      <c r="N73" s="11" t="str">
        <f>IF(OR(H73="",L73=""),"",IF(AND(H73=F73,L73=J73),"Yes","No"))</f>
        <v/>
      </c>
    </row>
    <row r="74" ht="75" customHeight="1" spans="1:14" x14ac:dyDescent="0.25">
      <c r="A74" s="7" t="s">
        <v>224</v>
      </c>
      <c r="B74" s="7" t="s">
        <v>213</v>
      </c>
      <c r="C74" s="8" t="s">
        <v>225</v>
      </c>
      <c r="D74" s="7" t="s">
        <v>30</v>
      </c>
      <c r="E74" s="7" t="s">
        <v>156</v>
      </c>
      <c r="F74" s="7" t="s">
        <v>138</v>
      </c>
      <c r="G74" s="8" t="s">
        <v>157</v>
      </c>
      <c r="H74" s="9"/>
      <c r="I74" s="10"/>
      <c r="J74" s="7" t="s">
        <v>138</v>
      </c>
      <c r="K74" s="8" t="s">
        <v>158</v>
      </c>
      <c r="L74" s="9"/>
      <c r="M74" s="10"/>
      <c r="N74" s="11" t="str">
        <f>IF(OR(H74="",L74=""),"",IF(AND(H74=F74,L74=J74),"Yes","No"))</f>
        <v/>
      </c>
    </row>
    <row r="75" ht="45" customHeight="1" spans="1:14" x14ac:dyDescent="0.25">
      <c r="A75" s="7" t="s">
        <v>226</v>
      </c>
      <c r="B75" s="7" t="s">
        <v>213</v>
      </c>
      <c r="C75" s="8" t="s">
        <v>227</v>
      </c>
      <c r="D75" s="7" t="s">
        <v>24</v>
      </c>
      <c r="E75" s="7" t="s">
        <v>40</v>
      </c>
      <c r="F75" s="7" t="s">
        <v>26</v>
      </c>
      <c r="G75" s="8" t="s">
        <v>27</v>
      </c>
      <c r="H75" s="9"/>
      <c r="I75" s="10"/>
      <c r="J75" s="7" t="s">
        <v>26</v>
      </c>
      <c r="K75" s="8" t="s">
        <v>228</v>
      </c>
      <c r="L75" s="9"/>
      <c r="M75" s="10"/>
      <c r="N75" s="11" t="str">
        <f>IF(OR(H75="",L75=""),"",IF(AND(H75=F75,L75=J75),"Yes","No"))</f>
        <v/>
      </c>
    </row>
    <row r="76" ht="45" customHeight="1" spans="1:14" x14ac:dyDescent="0.25">
      <c r="A76" s="7" t="s">
        <v>229</v>
      </c>
      <c r="B76" s="7" t="s">
        <v>213</v>
      </c>
      <c r="C76" s="8" t="s">
        <v>230</v>
      </c>
      <c r="D76" s="7" t="s">
        <v>30</v>
      </c>
      <c r="E76" s="7" t="s">
        <v>50</v>
      </c>
      <c r="F76" s="7" t="s">
        <v>26</v>
      </c>
      <c r="G76" s="8" t="s">
        <v>27</v>
      </c>
      <c r="H76" s="9"/>
      <c r="I76" s="10"/>
      <c r="J76" s="7" t="s">
        <v>26</v>
      </c>
      <c r="K76" s="8" t="s">
        <v>231</v>
      </c>
      <c r="L76" s="9"/>
      <c r="M76" s="10"/>
      <c r="N76" s="11" t="str">
        <f>IF(OR(H76="",L76=""),"",IF(AND(H76=F76,L76=J76),"Yes","No"))</f>
        <v/>
      </c>
    </row>
    <row r="77" ht="45" customHeight="1" spans="1:14" x14ac:dyDescent="0.25">
      <c r="A77" s="7" t="s">
        <v>232</v>
      </c>
      <c r="B77" s="7" t="s">
        <v>213</v>
      </c>
      <c r="C77" s="8" t="s">
        <v>233</v>
      </c>
      <c r="D77" s="7" t="s">
        <v>24</v>
      </c>
      <c r="E77" s="7" t="s">
        <v>40</v>
      </c>
      <c r="F77" s="7" t="s">
        <v>26</v>
      </c>
      <c r="G77" s="8" t="s">
        <v>27</v>
      </c>
      <c r="H77" s="9"/>
      <c r="I77" s="10"/>
      <c r="J77" s="7" t="s">
        <v>26</v>
      </c>
      <c r="K77" s="8" t="s">
        <v>234</v>
      </c>
      <c r="L77" s="9"/>
      <c r="M77" s="10"/>
      <c r="N77" s="11" t="str">
        <f>IF(OR(H77="",L77=""),"",IF(AND(H77=F77,L77=J77),"Yes","No"))</f>
        <v/>
      </c>
    </row>
    <row r="78" ht="45" customHeight="1" spans="1:14" x14ac:dyDescent="0.25">
      <c r="A78" s="7" t="s">
        <v>235</v>
      </c>
      <c r="B78" s="7" t="s">
        <v>213</v>
      </c>
      <c r="C78" s="8" t="s">
        <v>236</v>
      </c>
      <c r="D78" s="7" t="s">
        <v>30</v>
      </c>
      <c r="E78" s="7" t="s">
        <v>50</v>
      </c>
      <c r="F78" s="7" t="s">
        <v>26</v>
      </c>
      <c r="G78" s="8" t="s">
        <v>27</v>
      </c>
      <c r="H78" s="9"/>
      <c r="I78" s="10"/>
      <c r="J78" s="7" t="s">
        <v>26</v>
      </c>
      <c r="K78" s="8" t="s">
        <v>237</v>
      </c>
      <c r="L78" s="9"/>
      <c r="M78" s="10"/>
      <c r="N78" s="11" t="str">
        <f>IF(OR(H78="",L78=""),"",IF(AND(H78=F78,L78=J78),"Yes","No"))</f>
        <v/>
      </c>
    </row>
    <row r="79" ht="60" customHeight="1" spans="1:14" x14ac:dyDescent="0.25">
      <c r="A79" s="7" t="s">
        <v>238</v>
      </c>
      <c r="B79" s="7" t="s">
        <v>213</v>
      </c>
      <c r="C79" s="8" t="s">
        <v>239</v>
      </c>
      <c r="D79" s="7" t="s">
        <v>49</v>
      </c>
      <c r="E79" s="7" t="s">
        <v>156</v>
      </c>
      <c r="F79" s="7" t="s">
        <v>26</v>
      </c>
      <c r="G79" s="8" t="s">
        <v>27</v>
      </c>
      <c r="H79" s="9"/>
      <c r="I79" s="10"/>
      <c r="J79" s="7" t="s">
        <v>138</v>
      </c>
      <c r="K79" s="8" t="s">
        <v>240</v>
      </c>
      <c r="L79" s="9"/>
      <c r="M79" s="10"/>
      <c r="N79" s="11" t="str">
        <f>IF(OR(H79="",L79=""),"",IF(AND(H79=F79,L79=J79),"Yes","No"))</f>
        <v/>
      </c>
    </row>
    <row r="80" ht="45" customHeight="1" spans="1:14" x14ac:dyDescent="0.25">
      <c r="A80" s="7" t="s">
        <v>241</v>
      </c>
      <c r="B80" s="7" t="s">
        <v>242</v>
      </c>
      <c r="C80" s="8" t="s">
        <v>243</v>
      </c>
      <c r="D80" s="7" t="s">
        <v>24</v>
      </c>
      <c r="E80" s="7" t="s">
        <v>40</v>
      </c>
      <c r="F80" s="7" t="s">
        <v>26</v>
      </c>
      <c r="G80" s="8" t="s">
        <v>27</v>
      </c>
      <c r="H80" s="9"/>
      <c r="I80" s="10"/>
      <c r="J80" s="7" t="s">
        <v>26</v>
      </c>
      <c r="K80" s="8" t="s">
        <v>244</v>
      </c>
      <c r="L80" s="9"/>
      <c r="M80" s="10"/>
      <c r="N80" s="11" t="str">
        <f>IF(OR(H80="",L80=""),"",IF(AND(H80=F80,L80=J80),"Yes","No"))</f>
        <v/>
      </c>
    </row>
    <row r="81" ht="45" customHeight="1" spans="1:14" x14ac:dyDescent="0.25">
      <c r="A81" s="7" t="s">
        <v>245</v>
      </c>
      <c r="B81" s="7" t="s">
        <v>242</v>
      </c>
      <c r="C81" s="8" t="s">
        <v>246</v>
      </c>
      <c r="D81" s="7" t="s">
        <v>39</v>
      </c>
      <c r="E81" s="7" t="s">
        <v>40</v>
      </c>
      <c r="F81" s="7" t="s">
        <v>26</v>
      </c>
      <c r="G81" s="8" t="s">
        <v>27</v>
      </c>
      <c r="H81" s="9"/>
      <c r="I81" s="10"/>
      <c r="J81" s="7" t="s">
        <v>26</v>
      </c>
      <c r="K81" s="8" t="s">
        <v>247</v>
      </c>
      <c r="L81" s="9"/>
      <c r="M81" s="10"/>
      <c r="N81" s="11" t="str">
        <f>IF(OR(H81="",L81=""),"",IF(AND(H81=F81,L81=J81),"Yes","No"))</f>
        <v/>
      </c>
    </row>
    <row r="82" ht="75" customHeight="1" spans="1:14" x14ac:dyDescent="0.25">
      <c r="A82" s="7" t="s">
        <v>248</v>
      </c>
      <c r="B82" s="7" t="s">
        <v>242</v>
      </c>
      <c r="C82" s="8" t="s">
        <v>249</v>
      </c>
      <c r="D82" s="7" t="s">
        <v>30</v>
      </c>
      <c r="E82" s="7" t="s">
        <v>40</v>
      </c>
      <c r="F82" s="7" t="s">
        <v>26</v>
      </c>
      <c r="G82" s="8" t="s">
        <v>27</v>
      </c>
      <c r="H82" s="9"/>
      <c r="I82" s="10"/>
      <c r="J82" s="7" t="s">
        <v>138</v>
      </c>
      <c r="K82" s="8" t="s">
        <v>250</v>
      </c>
      <c r="L82" s="9"/>
      <c r="M82" s="10"/>
      <c r="N82" s="11" t="str">
        <f>IF(OR(H82="",L82=""),"",IF(AND(H82=F82,L82=J82),"Yes","No"))</f>
        <v/>
      </c>
    </row>
    <row r="83" ht="90" customHeight="1" spans="1:14" x14ac:dyDescent="0.25">
      <c r="A83" s="7" t="s">
        <v>251</v>
      </c>
      <c r="B83" s="7" t="s">
        <v>242</v>
      </c>
      <c r="C83" s="8" t="s">
        <v>252</v>
      </c>
      <c r="D83" s="7" t="s">
        <v>98</v>
      </c>
      <c r="E83" s="7" t="s">
        <v>50</v>
      </c>
      <c r="F83" s="7" t="s">
        <v>26</v>
      </c>
      <c r="G83" s="8" t="s">
        <v>27</v>
      </c>
      <c r="H83" s="9"/>
      <c r="I83" s="10"/>
      <c r="J83" s="7" t="s">
        <v>138</v>
      </c>
      <c r="K83" s="8" t="s">
        <v>153</v>
      </c>
      <c r="L83" s="9"/>
      <c r="M83" s="10"/>
      <c r="N83" s="11" t="str">
        <f>IF(OR(H83="",L83=""),"",IF(AND(H83=F83,L83=J83),"Yes","No"))</f>
        <v/>
      </c>
    </row>
    <row r="84" ht="75" customHeight="1" spans="1:14" x14ac:dyDescent="0.25">
      <c r="A84" s="7" t="s">
        <v>253</v>
      </c>
      <c r="B84" s="7" t="s">
        <v>242</v>
      </c>
      <c r="C84" s="8" t="s">
        <v>254</v>
      </c>
      <c r="D84" s="7" t="s">
        <v>30</v>
      </c>
      <c r="E84" s="7" t="s">
        <v>156</v>
      </c>
      <c r="F84" s="7" t="s">
        <v>138</v>
      </c>
      <c r="G84" s="8" t="s">
        <v>157</v>
      </c>
      <c r="H84" s="9"/>
      <c r="I84" s="10"/>
      <c r="J84" s="7" t="s">
        <v>138</v>
      </c>
      <c r="K84" s="8" t="s">
        <v>158</v>
      </c>
      <c r="L84" s="9"/>
      <c r="M84" s="10"/>
      <c r="N84" s="11" t="str">
        <f>IF(OR(H84="",L84=""),"",IF(AND(H84=F84,L84=J84),"Yes","No"))</f>
        <v/>
      </c>
    </row>
    <row r="85" ht="45" customHeight="1" spans="1:14" x14ac:dyDescent="0.25">
      <c r="A85" s="7" t="s">
        <v>255</v>
      </c>
      <c r="B85" s="7" t="s">
        <v>242</v>
      </c>
      <c r="C85" s="8" t="s">
        <v>256</v>
      </c>
      <c r="D85" s="7" t="s">
        <v>24</v>
      </c>
      <c r="E85" s="7" t="s">
        <v>40</v>
      </c>
      <c r="F85" s="7" t="s">
        <v>26</v>
      </c>
      <c r="G85" s="8" t="s">
        <v>27</v>
      </c>
      <c r="H85" s="9"/>
      <c r="I85" s="10"/>
      <c r="J85" s="7" t="s">
        <v>26</v>
      </c>
      <c r="K85" s="8" t="s">
        <v>257</v>
      </c>
      <c r="L85" s="9"/>
      <c r="M85" s="10"/>
      <c r="N85" s="11" t="str">
        <f>IF(OR(H85="",L85=""),"",IF(AND(H85=F85,L85=J85),"Yes","No"))</f>
        <v/>
      </c>
    </row>
    <row r="86" ht="45" customHeight="1" spans="1:14" x14ac:dyDescent="0.25">
      <c r="A86" s="7" t="s">
        <v>258</v>
      </c>
      <c r="B86" s="7" t="s">
        <v>242</v>
      </c>
      <c r="C86" s="8" t="s">
        <v>259</v>
      </c>
      <c r="D86" s="7" t="s">
        <v>30</v>
      </c>
      <c r="E86" s="7" t="s">
        <v>50</v>
      </c>
      <c r="F86" s="7" t="s">
        <v>26</v>
      </c>
      <c r="G86" s="8" t="s">
        <v>27</v>
      </c>
      <c r="H86" s="9"/>
      <c r="I86" s="10"/>
      <c r="J86" s="7" t="s">
        <v>26</v>
      </c>
      <c r="K86" s="8" t="s">
        <v>260</v>
      </c>
      <c r="L86" s="9"/>
      <c r="M86" s="10"/>
      <c r="N86" s="11" t="str">
        <f>IF(OR(H86="",L86=""),"",IF(AND(H86=F86,L86=J86),"Yes","No"))</f>
        <v/>
      </c>
    </row>
    <row r="87" ht="45" customHeight="1" spans="1:14" x14ac:dyDescent="0.25">
      <c r="A87" s="7" t="s">
        <v>261</v>
      </c>
      <c r="B87" s="7" t="s">
        <v>242</v>
      </c>
      <c r="C87" s="8" t="s">
        <v>262</v>
      </c>
      <c r="D87" s="7" t="s">
        <v>24</v>
      </c>
      <c r="E87" s="7" t="s">
        <v>40</v>
      </c>
      <c r="F87" s="7" t="s">
        <v>26</v>
      </c>
      <c r="G87" s="8" t="s">
        <v>27</v>
      </c>
      <c r="H87" s="9"/>
      <c r="I87" s="10"/>
      <c r="J87" s="7" t="s">
        <v>26</v>
      </c>
      <c r="K87" s="8" t="s">
        <v>263</v>
      </c>
      <c r="L87" s="9"/>
      <c r="M87" s="10"/>
      <c r="N87" s="11" t="str">
        <f>IF(OR(H87="",L87=""),"",IF(AND(H87=F87,L87=J87),"Yes","No"))</f>
        <v/>
      </c>
    </row>
    <row r="88" ht="45" customHeight="1" spans="1:14" x14ac:dyDescent="0.25">
      <c r="A88" s="7" t="s">
        <v>264</v>
      </c>
      <c r="B88" s="7" t="s">
        <v>242</v>
      </c>
      <c r="C88" s="8" t="s">
        <v>265</v>
      </c>
      <c r="D88" s="7" t="s">
        <v>30</v>
      </c>
      <c r="E88" s="7" t="s">
        <v>50</v>
      </c>
      <c r="F88" s="7" t="s">
        <v>26</v>
      </c>
      <c r="G88" s="8" t="s">
        <v>27</v>
      </c>
      <c r="H88" s="9"/>
      <c r="I88" s="10"/>
      <c r="J88" s="7" t="s">
        <v>26</v>
      </c>
      <c r="K88" s="8" t="s">
        <v>266</v>
      </c>
      <c r="L88" s="9"/>
      <c r="M88" s="10"/>
      <c r="N88" s="11" t="str">
        <f>IF(OR(H88="",L88=""),"",IF(AND(H88=F88,L88=J88),"Yes","No"))</f>
        <v/>
      </c>
    </row>
    <row r="89" ht="45" customHeight="1" spans="1:14" x14ac:dyDescent="0.25">
      <c r="A89" s="7" t="s">
        <v>267</v>
      </c>
      <c r="B89" s="7" t="s">
        <v>268</v>
      </c>
      <c r="C89" s="8" t="s">
        <v>269</v>
      </c>
      <c r="D89" s="7" t="s">
        <v>24</v>
      </c>
      <c r="E89" s="7" t="s">
        <v>40</v>
      </c>
      <c r="F89" s="7" t="s">
        <v>26</v>
      </c>
      <c r="G89" s="8" t="s">
        <v>27</v>
      </c>
      <c r="H89" s="9"/>
      <c r="I89" s="10"/>
      <c r="J89" s="7" t="s">
        <v>26</v>
      </c>
      <c r="K89" s="8" t="s">
        <v>270</v>
      </c>
      <c r="L89" s="9"/>
      <c r="M89" s="10"/>
      <c r="N89" s="11" t="str">
        <f>IF(OR(H89="",L89=""),"",IF(AND(H89=F89,L89=J89),"Yes","No"))</f>
        <v/>
      </c>
    </row>
    <row r="90" ht="45" customHeight="1" spans="1:14" x14ac:dyDescent="0.25">
      <c r="A90" s="7" t="s">
        <v>271</v>
      </c>
      <c r="B90" s="7" t="s">
        <v>268</v>
      </c>
      <c r="C90" s="8" t="s">
        <v>272</v>
      </c>
      <c r="D90" s="7" t="s">
        <v>39</v>
      </c>
      <c r="E90" s="7" t="s">
        <v>40</v>
      </c>
      <c r="F90" s="7" t="s">
        <v>26</v>
      </c>
      <c r="G90" s="8" t="s">
        <v>27</v>
      </c>
      <c r="H90" s="9"/>
      <c r="I90" s="10"/>
      <c r="J90" s="7" t="s">
        <v>26</v>
      </c>
      <c r="K90" s="8" t="s">
        <v>273</v>
      </c>
      <c r="L90" s="9"/>
      <c r="M90" s="10"/>
      <c r="N90" s="11" t="str">
        <f>IF(OR(H90="",L90=""),"",IF(AND(H90=F90,L90=J90),"Yes","No"))</f>
        <v/>
      </c>
    </row>
    <row r="91" ht="105" customHeight="1" spans="1:14" x14ac:dyDescent="0.25">
      <c r="A91" s="7" t="s">
        <v>274</v>
      </c>
      <c r="B91" s="7" t="s">
        <v>268</v>
      </c>
      <c r="C91" s="8" t="s">
        <v>275</v>
      </c>
      <c r="D91" s="7" t="s">
        <v>30</v>
      </c>
      <c r="E91" s="7" t="s">
        <v>40</v>
      </c>
      <c r="F91" s="7" t="s">
        <v>26</v>
      </c>
      <c r="G91" s="8" t="s">
        <v>27</v>
      </c>
      <c r="H91" s="9"/>
      <c r="I91" s="10"/>
      <c r="J91" s="7" t="s">
        <v>138</v>
      </c>
      <c r="K91" s="8" t="s">
        <v>276</v>
      </c>
      <c r="L91" s="9"/>
      <c r="M91" s="10"/>
      <c r="N91" s="11" t="str">
        <f>IF(OR(H91="",L91=""),"",IF(AND(H91=F91,L91=J91),"Yes","No"))</f>
        <v/>
      </c>
    </row>
    <row r="92" ht="90" customHeight="1" spans="1:14" x14ac:dyDescent="0.25">
      <c r="A92" s="7" t="s">
        <v>277</v>
      </c>
      <c r="B92" s="7" t="s">
        <v>268</v>
      </c>
      <c r="C92" s="8" t="s">
        <v>278</v>
      </c>
      <c r="D92" s="7" t="s">
        <v>98</v>
      </c>
      <c r="E92" s="7" t="s">
        <v>50</v>
      </c>
      <c r="F92" s="7" t="s">
        <v>26</v>
      </c>
      <c r="G92" s="8" t="s">
        <v>27</v>
      </c>
      <c r="H92" s="9"/>
      <c r="I92" s="10"/>
      <c r="J92" s="7" t="s">
        <v>138</v>
      </c>
      <c r="K92" s="8" t="s">
        <v>153</v>
      </c>
      <c r="L92" s="9"/>
      <c r="M92" s="10"/>
      <c r="N92" s="11" t="str">
        <f>IF(OR(H92="",L92=""),"",IF(AND(H92=F92,L92=J92),"Yes","No"))</f>
        <v/>
      </c>
    </row>
    <row r="93" ht="15" customHeight="1" spans="1:14" x14ac:dyDescent="0.25">
      <c r="A93" s="7" t="s">
        <v>279</v>
      </c>
      <c r="B93" s="7" t="s">
        <v>268</v>
      </c>
      <c r="C93" s="8" t="s">
        <v>280</v>
      </c>
      <c r="D93" s="7" t="s">
        <v>98</v>
      </c>
      <c r="E93" s="7" t="s">
        <v>40</v>
      </c>
      <c r="F93" s="7" t="s">
        <v>26</v>
      </c>
      <c r="G93" s="8" t="s">
        <v>27</v>
      </c>
      <c r="H93" s="9"/>
      <c r="I93" s="10"/>
      <c r="J93" s="7" t="s">
        <v>26</v>
      </c>
      <c r="K93" s="8" t="s">
        <v>27</v>
      </c>
      <c r="L93" s="9"/>
      <c r="M93" s="10"/>
      <c r="N93" s="11" t="str">
        <f>IF(OR(H93="",L93=""),"",IF(AND(H93=F93,L93=J93),"Yes","No"))</f>
        <v/>
      </c>
    </row>
    <row r="94" ht="45" customHeight="1" spans="1:14" x14ac:dyDescent="0.25">
      <c r="A94" s="7" t="s">
        <v>281</v>
      </c>
      <c r="B94" s="7" t="s">
        <v>268</v>
      </c>
      <c r="C94" s="8" t="s">
        <v>282</v>
      </c>
      <c r="D94" s="7" t="s">
        <v>24</v>
      </c>
      <c r="E94" s="7" t="s">
        <v>40</v>
      </c>
      <c r="F94" s="7" t="s">
        <v>26</v>
      </c>
      <c r="G94" s="8" t="s">
        <v>27</v>
      </c>
      <c r="H94" s="9"/>
      <c r="I94" s="10"/>
      <c r="J94" s="7" t="s">
        <v>26</v>
      </c>
      <c r="K94" s="8" t="s">
        <v>283</v>
      </c>
      <c r="L94" s="9"/>
      <c r="M94" s="10"/>
      <c r="N94" s="11" t="str">
        <f>IF(OR(H94="",L94=""),"",IF(AND(H94=F94,L94=J94),"Yes","No"))</f>
        <v/>
      </c>
    </row>
    <row r="95" ht="45" customHeight="1" spans="1:14" x14ac:dyDescent="0.25">
      <c r="A95" s="7" t="s">
        <v>284</v>
      </c>
      <c r="B95" s="7" t="s">
        <v>268</v>
      </c>
      <c r="C95" s="8" t="s">
        <v>285</v>
      </c>
      <c r="D95" s="7" t="s">
        <v>30</v>
      </c>
      <c r="E95" s="7" t="s">
        <v>50</v>
      </c>
      <c r="F95" s="7" t="s">
        <v>26</v>
      </c>
      <c r="G95" s="8" t="s">
        <v>27</v>
      </c>
      <c r="H95" s="9"/>
      <c r="I95" s="10"/>
      <c r="J95" s="7" t="s">
        <v>26</v>
      </c>
      <c r="K95" s="8" t="s">
        <v>286</v>
      </c>
      <c r="L95" s="9"/>
      <c r="M95" s="10"/>
      <c r="N95" s="11" t="str">
        <f>IF(OR(H95="",L95=""),"",IF(AND(H95=F95,L95=J95),"Yes","No"))</f>
        <v/>
      </c>
    </row>
    <row r="96" ht="45" customHeight="1" spans="1:14" x14ac:dyDescent="0.25">
      <c r="A96" s="7" t="s">
        <v>287</v>
      </c>
      <c r="B96" s="7" t="s">
        <v>268</v>
      </c>
      <c r="C96" s="8" t="s">
        <v>288</v>
      </c>
      <c r="D96" s="7" t="s">
        <v>24</v>
      </c>
      <c r="E96" s="7" t="s">
        <v>40</v>
      </c>
      <c r="F96" s="7" t="s">
        <v>26</v>
      </c>
      <c r="G96" s="8" t="s">
        <v>27</v>
      </c>
      <c r="H96" s="9"/>
      <c r="I96" s="10"/>
      <c r="J96" s="7" t="s">
        <v>26</v>
      </c>
      <c r="K96" s="8" t="s">
        <v>289</v>
      </c>
      <c r="L96" s="9"/>
      <c r="M96" s="10"/>
      <c r="N96" s="11" t="str">
        <f>IF(OR(H96="",L96=""),"",IF(AND(H96=F96,L96=J96),"Yes","No"))</f>
        <v/>
      </c>
    </row>
    <row r="97" ht="45" customHeight="1" spans="1:14" x14ac:dyDescent="0.25">
      <c r="A97" s="7" t="s">
        <v>290</v>
      </c>
      <c r="B97" s="7" t="s">
        <v>268</v>
      </c>
      <c r="C97" s="8" t="s">
        <v>291</v>
      </c>
      <c r="D97" s="7" t="s">
        <v>30</v>
      </c>
      <c r="E97" s="7" t="s">
        <v>50</v>
      </c>
      <c r="F97" s="7" t="s">
        <v>26</v>
      </c>
      <c r="G97" s="8" t="s">
        <v>27</v>
      </c>
      <c r="H97" s="9"/>
      <c r="I97" s="10"/>
      <c r="J97" s="7" t="s">
        <v>26</v>
      </c>
      <c r="K97" s="8" t="s">
        <v>292</v>
      </c>
      <c r="L97" s="9"/>
      <c r="M97" s="10"/>
      <c r="N97" s="11" t="str">
        <f>IF(OR(H97="",L97=""),"",IF(AND(H97=F97,L97=J97),"Yes","No"))</f>
        <v/>
      </c>
    </row>
    <row r="98" ht="30" customHeight="1" spans="1:14" x14ac:dyDescent="0.25">
      <c r="A98" s="7" t="s">
        <v>293</v>
      </c>
      <c r="B98" s="7" t="s">
        <v>268</v>
      </c>
      <c r="C98" s="8" t="s">
        <v>294</v>
      </c>
      <c r="D98" s="7" t="s">
        <v>30</v>
      </c>
      <c r="E98" s="7" t="s">
        <v>156</v>
      </c>
      <c r="F98" s="7" t="s">
        <v>26</v>
      </c>
      <c r="G98" s="8" t="s">
        <v>27</v>
      </c>
      <c r="H98" s="9"/>
      <c r="I98" s="10"/>
      <c r="J98" s="7" t="s">
        <v>138</v>
      </c>
      <c r="K98" s="8" t="s">
        <v>295</v>
      </c>
      <c r="L98" s="9"/>
      <c r="M98" s="10"/>
      <c r="N98" s="11" t="str">
        <f>IF(OR(H98="",L98=""),"",IF(AND(H98=F98,L98=J98),"Yes","No"))</f>
        <v/>
      </c>
    </row>
    <row r="99" ht="15" customHeight="1" spans="1:14" x14ac:dyDescent="0.25">
      <c r="A99" s="7" t="s">
        <v>296</v>
      </c>
      <c r="B99" s="7" t="s">
        <v>268</v>
      </c>
      <c r="C99" s="8" t="s">
        <v>297</v>
      </c>
      <c r="D99" s="7" t="s">
        <v>24</v>
      </c>
      <c r="E99" s="7" t="s">
        <v>156</v>
      </c>
      <c r="F99" s="7" t="s">
        <v>26</v>
      </c>
      <c r="G99" s="8" t="s">
        <v>27</v>
      </c>
      <c r="H99" s="9"/>
      <c r="I99" s="10"/>
      <c r="J99" s="7" t="s">
        <v>138</v>
      </c>
      <c r="K99" s="8" t="s">
        <v>298</v>
      </c>
      <c r="L99" s="9"/>
      <c r="M99" s="10"/>
      <c r="N99" s="11" t="str">
        <f>IF(OR(H99="",L99=""),"",IF(AND(H99=F99,L99=J99),"Yes","No"))</f>
        <v/>
      </c>
    </row>
    <row r="100" ht="15" customHeight="1" spans="1:14" x14ac:dyDescent="0.25">
      <c r="A100" s="7" t="s">
        <v>299</v>
      </c>
      <c r="B100" s="7" t="s">
        <v>300</v>
      </c>
      <c r="C100" s="8" t="s">
        <v>301</v>
      </c>
      <c r="D100" s="7" t="s">
        <v>127</v>
      </c>
      <c r="E100" s="7" t="s">
        <v>40</v>
      </c>
      <c r="F100" s="7" t="s">
        <v>26</v>
      </c>
      <c r="G100" s="8" t="s">
        <v>27</v>
      </c>
      <c r="H100" s="9"/>
      <c r="I100" s="10"/>
      <c r="J100" s="7" t="s">
        <v>26</v>
      </c>
      <c r="K100" s="8" t="s">
        <v>27</v>
      </c>
      <c r="L100" s="9"/>
      <c r="M100" s="10"/>
      <c r="N100" s="11" t="str">
        <f>IF(OR(H100="",L100=""),"",IF(AND(H100=F100,L100=J100),"Yes","No"))</f>
        <v/>
      </c>
    </row>
    <row r="101" ht="75" customHeight="1" spans="1:14" x14ac:dyDescent="0.25">
      <c r="A101" s="7" t="s">
        <v>302</v>
      </c>
      <c r="B101" s="7" t="s">
        <v>300</v>
      </c>
      <c r="C101" s="8" t="s">
        <v>303</v>
      </c>
      <c r="D101" s="7" t="s">
        <v>39</v>
      </c>
      <c r="E101" s="7" t="s">
        <v>40</v>
      </c>
      <c r="F101" s="7" t="s">
        <v>26</v>
      </c>
      <c r="G101" s="8" t="s">
        <v>27</v>
      </c>
      <c r="H101" s="9"/>
      <c r="I101" s="10"/>
      <c r="J101" s="7" t="s">
        <v>138</v>
      </c>
      <c r="K101" s="8" t="s">
        <v>304</v>
      </c>
      <c r="L101" s="9"/>
      <c r="M101" s="10"/>
      <c r="N101" s="11" t="str">
        <f>IF(OR(H101="",L101=""),"",IF(AND(H101=F101,L101=J101),"Yes","No"))</f>
        <v/>
      </c>
    </row>
    <row r="102" ht="75" customHeight="1" spans="1:14" x14ac:dyDescent="0.25">
      <c r="A102" s="7" t="s">
        <v>305</v>
      </c>
      <c r="B102" s="7" t="s">
        <v>300</v>
      </c>
      <c r="C102" s="8" t="s">
        <v>306</v>
      </c>
      <c r="D102" s="7" t="s">
        <v>39</v>
      </c>
      <c r="E102" s="7" t="s">
        <v>40</v>
      </c>
      <c r="F102" s="7" t="s">
        <v>26</v>
      </c>
      <c r="G102" s="8" t="s">
        <v>27</v>
      </c>
      <c r="H102" s="9"/>
      <c r="I102" s="10"/>
      <c r="J102" s="7" t="s">
        <v>138</v>
      </c>
      <c r="K102" s="8" t="s">
        <v>304</v>
      </c>
      <c r="L102" s="9"/>
      <c r="M102" s="10"/>
      <c r="N102" s="11" t="str">
        <f>IF(OR(H102="",L102=""),"",IF(AND(H102=F102,L102=J102),"Yes","No"))</f>
        <v/>
      </c>
    </row>
    <row r="103" ht="75" customHeight="1" spans="1:14" x14ac:dyDescent="0.25">
      <c r="A103" s="7" t="s">
        <v>307</v>
      </c>
      <c r="B103" s="7" t="s">
        <v>300</v>
      </c>
      <c r="C103" s="8" t="s">
        <v>308</v>
      </c>
      <c r="D103" s="7" t="s">
        <v>39</v>
      </c>
      <c r="E103" s="7" t="s">
        <v>40</v>
      </c>
      <c r="F103" s="7" t="s">
        <v>26</v>
      </c>
      <c r="G103" s="8" t="s">
        <v>27</v>
      </c>
      <c r="H103" s="9"/>
      <c r="I103" s="10"/>
      <c r="J103" s="7" t="s">
        <v>138</v>
      </c>
      <c r="K103" s="8" t="s">
        <v>304</v>
      </c>
      <c r="L103" s="9"/>
      <c r="M103" s="10"/>
      <c r="N103" s="11" t="str">
        <f>IF(OR(H103="",L103=""),"",IF(AND(H103=F103,L103=J103),"Yes","No"))</f>
        <v/>
      </c>
    </row>
    <row r="104" ht="30" customHeight="1" spans="1:14" x14ac:dyDescent="0.25">
      <c r="A104" s="7" t="s">
        <v>309</v>
      </c>
      <c r="B104" s="7" t="s">
        <v>300</v>
      </c>
      <c r="C104" s="8" t="s">
        <v>310</v>
      </c>
      <c r="D104" s="7" t="s">
        <v>24</v>
      </c>
      <c r="E104" s="7" t="s">
        <v>40</v>
      </c>
      <c r="F104" s="7" t="s">
        <v>26</v>
      </c>
      <c r="G104" s="8" t="s">
        <v>27</v>
      </c>
      <c r="H104" s="9"/>
      <c r="I104" s="10"/>
      <c r="J104" s="7" t="s">
        <v>138</v>
      </c>
      <c r="K104" s="8" t="s">
        <v>311</v>
      </c>
      <c r="L104" s="9"/>
      <c r="M104" s="10"/>
      <c r="N104" s="11" t="str">
        <f>IF(OR(H104="",L104=""),"",IF(AND(H104=F104,L104=J104),"Yes","No"))</f>
        <v/>
      </c>
    </row>
    <row r="105" ht="15" customHeight="1" spans="1:14" x14ac:dyDescent="0.25">
      <c r="A105" s="7" t="s">
        <v>312</v>
      </c>
      <c r="B105" s="7" t="s">
        <v>313</v>
      </c>
      <c r="C105" s="8" t="s">
        <v>314</v>
      </c>
      <c r="D105" s="7" t="s">
        <v>24</v>
      </c>
      <c r="E105" s="7" t="s">
        <v>40</v>
      </c>
      <c r="F105" s="7" t="s">
        <v>26</v>
      </c>
      <c r="G105" s="8" t="s">
        <v>27</v>
      </c>
      <c r="H105" s="9"/>
      <c r="I105" s="10"/>
      <c r="J105" s="7" t="s">
        <v>26</v>
      </c>
      <c r="K105" s="8" t="s">
        <v>27</v>
      </c>
      <c r="L105" s="9"/>
      <c r="M105" s="10"/>
      <c r="N105" s="11" t="str">
        <f>IF(OR(H105="",L105=""),"",IF(AND(H105=F105,L105=J105),"Yes","No"))</f>
        <v/>
      </c>
    </row>
    <row r="106" ht="15" customHeight="1" spans="1:14" x14ac:dyDescent="0.25">
      <c r="A106" s="7" t="s">
        <v>315</v>
      </c>
      <c r="B106" s="7" t="s">
        <v>313</v>
      </c>
      <c r="C106" s="8" t="s">
        <v>183</v>
      </c>
      <c r="D106" s="7" t="s">
        <v>39</v>
      </c>
      <c r="E106" s="7" t="s">
        <v>40</v>
      </c>
      <c r="F106" s="7" t="s">
        <v>26</v>
      </c>
      <c r="G106" s="8" t="s">
        <v>27</v>
      </c>
      <c r="H106" s="9"/>
      <c r="I106" s="10"/>
      <c r="J106" s="7" t="s">
        <v>26</v>
      </c>
      <c r="K106" s="8" t="s">
        <v>27</v>
      </c>
      <c r="L106" s="9"/>
      <c r="M106" s="10"/>
      <c r="N106" s="11" t="str">
        <f>IF(OR(H106="",L106=""),"",IF(AND(H106=F106,L106=J106),"Yes","No"))</f>
        <v/>
      </c>
    </row>
    <row r="107" ht="75" customHeight="1" spans="1:14" x14ac:dyDescent="0.25">
      <c r="A107" s="7" t="s">
        <v>316</v>
      </c>
      <c r="B107" s="7" t="s">
        <v>313</v>
      </c>
      <c r="C107" s="8" t="s">
        <v>186</v>
      </c>
      <c r="D107" s="7" t="s">
        <v>30</v>
      </c>
      <c r="E107" s="7" t="s">
        <v>40</v>
      </c>
      <c r="F107" s="7" t="s">
        <v>26</v>
      </c>
      <c r="G107" s="8" t="s">
        <v>27</v>
      </c>
      <c r="H107" s="9"/>
      <c r="I107" s="10"/>
      <c r="J107" s="7" t="s">
        <v>138</v>
      </c>
      <c r="K107" s="8" t="s">
        <v>317</v>
      </c>
      <c r="L107" s="9"/>
      <c r="M107" s="10"/>
      <c r="N107" s="11" t="str">
        <f>IF(OR(H107="",L107=""),"",IF(AND(H107=F107,L107=J107),"Yes","No"))</f>
        <v/>
      </c>
    </row>
    <row r="108" ht="90" customHeight="1" spans="1:14" x14ac:dyDescent="0.25">
      <c r="A108" s="7" t="s">
        <v>318</v>
      </c>
      <c r="B108" s="7" t="s">
        <v>313</v>
      </c>
      <c r="C108" s="8" t="s">
        <v>189</v>
      </c>
      <c r="D108" s="7" t="s">
        <v>98</v>
      </c>
      <c r="E108" s="7" t="s">
        <v>50</v>
      </c>
      <c r="F108" s="7" t="s">
        <v>26</v>
      </c>
      <c r="G108" s="8" t="s">
        <v>27</v>
      </c>
      <c r="H108" s="9"/>
      <c r="I108" s="10"/>
      <c r="J108" s="7" t="s">
        <v>138</v>
      </c>
      <c r="K108" s="8" t="s">
        <v>153</v>
      </c>
      <c r="L108" s="9"/>
      <c r="M108" s="10"/>
      <c r="N108" s="11" t="str">
        <f>IF(OR(H108="",L108=""),"",IF(AND(H108=F108,L108=J108),"Yes","No"))</f>
        <v/>
      </c>
    </row>
    <row r="109" ht="75" customHeight="1" spans="1:14" x14ac:dyDescent="0.25">
      <c r="A109" s="7" t="s">
        <v>319</v>
      </c>
      <c r="B109" s="7" t="s">
        <v>313</v>
      </c>
      <c r="C109" s="8" t="s">
        <v>191</v>
      </c>
      <c r="D109" s="7" t="s">
        <v>30</v>
      </c>
      <c r="E109" s="7" t="s">
        <v>156</v>
      </c>
      <c r="F109" s="7" t="s">
        <v>138</v>
      </c>
      <c r="G109" s="8" t="s">
        <v>157</v>
      </c>
      <c r="H109" s="9"/>
      <c r="I109" s="10"/>
      <c r="J109" s="7" t="s">
        <v>138</v>
      </c>
      <c r="K109" s="8" t="s">
        <v>158</v>
      </c>
      <c r="L109" s="9"/>
      <c r="M109" s="10"/>
      <c r="N109" s="11" t="str">
        <f>IF(OR(H109="",L109=""),"",IF(AND(H109=F109,L109=J109),"Yes","No"))</f>
        <v/>
      </c>
    </row>
    <row r="110" ht="60" customHeight="1" spans="1:14" x14ac:dyDescent="0.25">
      <c r="A110" s="7" t="s">
        <v>320</v>
      </c>
      <c r="B110" s="7" t="s">
        <v>313</v>
      </c>
      <c r="C110" s="8" t="s">
        <v>321</v>
      </c>
      <c r="D110" s="7" t="s">
        <v>24</v>
      </c>
      <c r="E110" s="7" t="s">
        <v>40</v>
      </c>
      <c r="F110" s="7" t="s">
        <v>26</v>
      </c>
      <c r="G110" s="8" t="s">
        <v>27</v>
      </c>
      <c r="H110" s="9"/>
      <c r="I110" s="10"/>
      <c r="J110" s="7" t="s">
        <v>26</v>
      </c>
      <c r="K110" s="8" t="s">
        <v>322</v>
      </c>
      <c r="L110" s="9"/>
      <c r="M110" s="10"/>
      <c r="N110" s="11" t="str">
        <f>IF(OR(H110="",L110=""),"",IF(AND(H110=F110,L110=J110),"Yes","No"))</f>
        <v/>
      </c>
    </row>
    <row r="111" ht="60" customHeight="1" spans="1:14" x14ac:dyDescent="0.25">
      <c r="A111" s="7" t="s">
        <v>323</v>
      </c>
      <c r="B111" s="7" t="s">
        <v>313</v>
      </c>
      <c r="C111" s="8" t="s">
        <v>324</v>
      </c>
      <c r="D111" s="7" t="s">
        <v>30</v>
      </c>
      <c r="E111" s="7" t="s">
        <v>50</v>
      </c>
      <c r="F111" s="7" t="s">
        <v>26</v>
      </c>
      <c r="G111" s="8" t="s">
        <v>27</v>
      </c>
      <c r="H111" s="9"/>
      <c r="I111" s="10"/>
      <c r="J111" s="7" t="s">
        <v>26</v>
      </c>
      <c r="K111" s="8" t="s">
        <v>325</v>
      </c>
      <c r="L111" s="9"/>
      <c r="M111" s="10"/>
      <c r="N111" s="11" t="str">
        <f>IF(OR(H111="",L111=""),"",IF(AND(H111=F111,L111=J111),"Yes","No"))</f>
        <v/>
      </c>
    </row>
    <row r="112" ht="60" customHeight="1" spans="1:14" x14ac:dyDescent="0.25">
      <c r="A112" s="7" t="s">
        <v>326</v>
      </c>
      <c r="B112" s="7" t="s">
        <v>313</v>
      </c>
      <c r="C112" s="8" t="s">
        <v>327</v>
      </c>
      <c r="D112" s="7" t="s">
        <v>24</v>
      </c>
      <c r="E112" s="7" t="s">
        <v>40</v>
      </c>
      <c r="F112" s="7" t="s">
        <v>26</v>
      </c>
      <c r="G112" s="8" t="s">
        <v>27</v>
      </c>
      <c r="H112" s="9"/>
      <c r="I112" s="10"/>
      <c r="J112" s="7" t="s">
        <v>26</v>
      </c>
      <c r="K112" s="8" t="s">
        <v>328</v>
      </c>
      <c r="L112" s="9"/>
      <c r="M112" s="10"/>
      <c r="N112" s="11" t="str">
        <f>IF(OR(H112="",L112=""),"",IF(AND(H112=F112,L112=J112),"Yes","No"))</f>
        <v/>
      </c>
    </row>
    <row r="113" ht="60" customHeight="1" spans="1:14" x14ac:dyDescent="0.25">
      <c r="A113" s="7" t="s">
        <v>329</v>
      </c>
      <c r="B113" s="7" t="s">
        <v>313</v>
      </c>
      <c r="C113" s="8" t="s">
        <v>330</v>
      </c>
      <c r="D113" s="7" t="s">
        <v>30</v>
      </c>
      <c r="E113" s="7" t="s">
        <v>50</v>
      </c>
      <c r="F113" s="7" t="s">
        <v>26</v>
      </c>
      <c r="G113" s="8" t="s">
        <v>27</v>
      </c>
      <c r="H113" s="9"/>
      <c r="I113" s="10"/>
      <c r="J113" s="7" t="s">
        <v>26</v>
      </c>
      <c r="K113" s="8" t="s">
        <v>331</v>
      </c>
      <c r="L113" s="9"/>
      <c r="M113" s="10"/>
      <c r="N113" s="11" t="str">
        <f>IF(OR(H113="",L113=""),"",IF(AND(H113=F113,L113=J113),"Yes","No"))</f>
        <v/>
      </c>
    </row>
    <row r="114" ht="30" customHeight="1" spans="1:14" x14ac:dyDescent="0.25">
      <c r="A114" s="7" t="s">
        <v>332</v>
      </c>
      <c r="B114" s="7" t="s">
        <v>313</v>
      </c>
      <c r="C114" s="8" t="s">
        <v>333</v>
      </c>
      <c r="D114" s="7" t="s">
        <v>127</v>
      </c>
      <c r="E114" s="7" t="s">
        <v>156</v>
      </c>
      <c r="F114" s="7" t="s">
        <v>26</v>
      </c>
      <c r="G114" s="8" t="s">
        <v>27</v>
      </c>
      <c r="H114" s="9"/>
      <c r="I114" s="10"/>
      <c r="J114" s="7" t="s">
        <v>138</v>
      </c>
      <c r="K114" s="8" t="s">
        <v>334</v>
      </c>
      <c r="L114" s="9"/>
      <c r="M114" s="10"/>
      <c r="N114" s="11" t="str">
        <f>IF(OR(H114="",L114=""),"",IF(AND(H114=F114,L114=J114),"Yes","No"))</f>
        <v/>
      </c>
    </row>
    <row r="115" ht="75" customHeight="1" spans="1:14" x14ac:dyDescent="0.25">
      <c r="A115" s="7" t="s">
        <v>335</v>
      </c>
      <c r="B115" s="7" t="s">
        <v>313</v>
      </c>
      <c r="C115" s="8" t="s">
        <v>336</v>
      </c>
      <c r="D115" s="7" t="s">
        <v>24</v>
      </c>
      <c r="E115" s="7" t="s">
        <v>50</v>
      </c>
      <c r="F115" s="7" t="s">
        <v>26</v>
      </c>
      <c r="G115" s="8" t="s">
        <v>27</v>
      </c>
      <c r="H115" s="9"/>
      <c r="I115" s="10"/>
      <c r="J115" s="7" t="s">
        <v>26</v>
      </c>
      <c r="K115" s="8" t="s">
        <v>337</v>
      </c>
      <c r="L115" s="9"/>
      <c r="M115" s="10"/>
      <c r="N115" s="11" t="str">
        <f>IF(OR(H115="",L115=""),"",IF(AND(H115=F115,L115=J115),"Yes","No"))</f>
        <v/>
      </c>
    </row>
    <row r="116" ht="75" customHeight="1" spans="1:14" x14ac:dyDescent="0.25">
      <c r="A116" s="7" t="s">
        <v>338</v>
      </c>
      <c r="B116" s="7" t="s">
        <v>339</v>
      </c>
      <c r="C116" s="8" t="s">
        <v>340</v>
      </c>
      <c r="D116" s="7" t="s">
        <v>24</v>
      </c>
      <c r="E116" s="7" t="s">
        <v>50</v>
      </c>
      <c r="F116" s="7" t="s">
        <v>26</v>
      </c>
      <c r="G116" s="8" t="s">
        <v>27</v>
      </c>
      <c r="H116" s="9"/>
      <c r="I116" s="10"/>
      <c r="J116" s="7" t="s">
        <v>138</v>
      </c>
      <c r="K116" s="8" t="s">
        <v>341</v>
      </c>
      <c r="L116" s="9"/>
      <c r="M116" s="10"/>
      <c r="N116" s="11" t="str">
        <f>IF(OR(H116="",L116=""),"",IF(AND(H116=F116,L116=J116),"Yes","No"))</f>
        <v/>
      </c>
    </row>
    <row r="117" ht="30" customHeight="1" spans="1:14" x14ac:dyDescent="0.25">
      <c r="A117" s="7" t="s">
        <v>342</v>
      </c>
      <c r="B117" s="7" t="s">
        <v>339</v>
      </c>
      <c r="C117" s="8" t="s">
        <v>343</v>
      </c>
      <c r="D117" s="7" t="s">
        <v>30</v>
      </c>
      <c r="E117" s="7" t="s">
        <v>50</v>
      </c>
      <c r="F117" s="7" t="s">
        <v>26</v>
      </c>
      <c r="G117" s="8" t="s">
        <v>27</v>
      </c>
      <c r="H117" s="9"/>
      <c r="I117" s="10"/>
      <c r="J117" s="7" t="s">
        <v>138</v>
      </c>
      <c r="K117" s="8" t="s">
        <v>344</v>
      </c>
      <c r="L117" s="9"/>
      <c r="M117" s="10"/>
      <c r="N117" s="11" t="str">
        <f>IF(OR(H117="",L117=""),"",IF(AND(H117=F117,L117=J117),"Yes","No"))</f>
        <v/>
      </c>
    </row>
    <row r="118" ht="15" customHeight="1" spans="1:14" x14ac:dyDescent="0.25">
      <c r="A118" s="7" t="s">
        <v>345</v>
      </c>
      <c r="B118" s="7" t="s">
        <v>339</v>
      </c>
      <c r="C118" s="8" t="s">
        <v>346</v>
      </c>
      <c r="D118" s="7" t="s">
        <v>127</v>
      </c>
      <c r="E118" s="7" t="s">
        <v>50</v>
      </c>
      <c r="F118" s="7" t="s">
        <v>26</v>
      </c>
      <c r="G118" s="8" t="s">
        <v>27</v>
      </c>
      <c r="H118" s="9"/>
      <c r="I118" s="10"/>
      <c r="J118" s="7" t="s">
        <v>26</v>
      </c>
      <c r="K118" s="8" t="s">
        <v>27</v>
      </c>
      <c r="L118" s="9"/>
      <c r="M118" s="10"/>
      <c r="N118" s="11" t="str">
        <f>IF(OR(H118="",L118=""),"",IF(AND(H118=F118,L118=J118),"Yes","No"))</f>
        <v/>
      </c>
    </row>
    <row r="119" ht="15" customHeight="1" spans="1:14" x14ac:dyDescent="0.25">
      <c r="A119" s="7" t="s">
        <v>347</v>
      </c>
      <c r="B119" s="7" t="s">
        <v>348</v>
      </c>
      <c r="C119" s="8" t="s">
        <v>349</v>
      </c>
      <c r="D119" s="7" t="s">
        <v>24</v>
      </c>
      <c r="E119" s="7" t="s">
        <v>40</v>
      </c>
      <c r="F119" s="7" t="s">
        <v>26</v>
      </c>
      <c r="G119" s="8" t="s">
        <v>27</v>
      </c>
      <c r="H119" s="9"/>
      <c r="I119" s="10"/>
      <c r="J119" s="7" t="s">
        <v>26</v>
      </c>
      <c r="K119" s="8" t="s">
        <v>27</v>
      </c>
      <c r="L119" s="9"/>
      <c r="M119" s="10"/>
      <c r="N119" s="11" t="str">
        <f>IF(OR(H119="",L119=""),"",IF(AND(H119=F119,L119=J119),"Yes","No"))</f>
        <v/>
      </c>
    </row>
    <row r="120" ht="15" customHeight="1" spans="1:14" x14ac:dyDescent="0.25">
      <c r="A120" s="7" t="s">
        <v>350</v>
      </c>
      <c r="B120" s="7" t="s">
        <v>348</v>
      </c>
      <c r="C120" s="8" t="s">
        <v>183</v>
      </c>
      <c r="D120" s="7" t="s">
        <v>39</v>
      </c>
      <c r="E120" s="7" t="s">
        <v>40</v>
      </c>
      <c r="F120" s="7" t="s">
        <v>26</v>
      </c>
      <c r="G120" s="8" t="s">
        <v>27</v>
      </c>
      <c r="H120" s="9"/>
      <c r="I120" s="10"/>
      <c r="J120" s="7" t="s">
        <v>26</v>
      </c>
      <c r="K120" s="8" t="s">
        <v>27</v>
      </c>
      <c r="L120" s="9"/>
      <c r="M120" s="10"/>
      <c r="N120" s="11" t="str">
        <f>IF(OR(H120="",L120=""),"",IF(AND(H120=F120,L120=J120),"Yes","No"))</f>
        <v/>
      </c>
    </row>
    <row r="121" ht="90" customHeight="1" spans="1:14" x14ac:dyDescent="0.25">
      <c r="A121" s="7" t="s">
        <v>351</v>
      </c>
      <c r="B121" s="7" t="s">
        <v>348</v>
      </c>
      <c r="C121" s="8" t="s">
        <v>186</v>
      </c>
      <c r="D121" s="7" t="s">
        <v>30</v>
      </c>
      <c r="E121" s="7" t="s">
        <v>40</v>
      </c>
      <c r="F121" s="7" t="s">
        <v>26</v>
      </c>
      <c r="G121" s="8" t="s">
        <v>27</v>
      </c>
      <c r="H121" s="9"/>
      <c r="I121" s="10"/>
      <c r="J121" s="7" t="s">
        <v>138</v>
      </c>
      <c r="K121" s="8" t="s">
        <v>352</v>
      </c>
      <c r="L121" s="9"/>
      <c r="M121" s="10"/>
      <c r="N121" s="11" t="str">
        <f>IF(OR(H121="",L121=""),"",IF(AND(H121=F121,L121=J121),"Yes","No"))</f>
        <v/>
      </c>
    </row>
    <row r="122" ht="90" customHeight="1" spans="1:14" x14ac:dyDescent="0.25">
      <c r="A122" s="7" t="s">
        <v>353</v>
      </c>
      <c r="B122" s="7" t="s">
        <v>348</v>
      </c>
      <c r="C122" s="8" t="s">
        <v>189</v>
      </c>
      <c r="D122" s="7" t="s">
        <v>98</v>
      </c>
      <c r="E122" s="7" t="s">
        <v>50</v>
      </c>
      <c r="F122" s="7" t="s">
        <v>26</v>
      </c>
      <c r="G122" s="8" t="s">
        <v>27</v>
      </c>
      <c r="H122" s="9"/>
      <c r="I122" s="10"/>
      <c r="J122" s="7" t="s">
        <v>138</v>
      </c>
      <c r="K122" s="8" t="s">
        <v>153</v>
      </c>
      <c r="L122" s="9"/>
      <c r="M122" s="10"/>
      <c r="N122" s="11" t="str">
        <f>IF(OR(H122="",L122=""),"",IF(AND(H122=F122,L122=J122),"Yes","No"))</f>
        <v/>
      </c>
    </row>
    <row r="123" ht="75" customHeight="1" spans="1:14" x14ac:dyDescent="0.25">
      <c r="A123" s="7" t="s">
        <v>354</v>
      </c>
      <c r="B123" s="7" t="s">
        <v>348</v>
      </c>
      <c r="C123" s="8" t="s">
        <v>191</v>
      </c>
      <c r="D123" s="7" t="s">
        <v>30</v>
      </c>
      <c r="E123" s="7" t="s">
        <v>156</v>
      </c>
      <c r="F123" s="7" t="s">
        <v>138</v>
      </c>
      <c r="G123" s="8" t="s">
        <v>157</v>
      </c>
      <c r="H123" s="9"/>
      <c r="I123" s="10"/>
      <c r="J123" s="7" t="s">
        <v>138</v>
      </c>
      <c r="K123" s="8" t="s">
        <v>158</v>
      </c>
      <c r="L123" s="9"/>
      <c r="M123" s="10"/>
      <c r="N123" s="11" t="str">
        <f>IF(OR(H123="",L123=""),"",IF(AND(H123=F123,L123=J123),"Yes","No"))</f>
        <v/>
      </c>
    </row>
    <row r="124" ht="15" customHeight="1" spans="1:14" x14ac:dyDescent="0.25">
      <c r="A124" s="7" t="s">
        <v>355</v>
      </c>
      <c r="B124" s="7" t="s">
        <v>348</v>
      </c>
      <c r="C124" s="8" t="s">
        <v>356</v>
      </c>
      <c r="D124" s="7" t="s">
        <v>24</v>
      </c>
      <c r="E124" s="7" t="s">
        <v>40</v>
      </c>
      <c r="F124" s="7" t="s">
        <v>26</v>
      </c>
      <c r="G124" s="8" t="s">
        <v>27</v>
      </c>
      <c r="H124" s="9"/>
      <c r="I124" s="10"/>
      <c r="J124" s="7" t="s">
        <v>26</v>
      </c>
      <c r="K124" s="8" t="s">
        <v>27</v>
      </c>
      <c r="L124" s="9"/>
      <c r="M124" s="10"/>
      <c r="N124" s="11" t="str">
        <f>IF(OR(H124="",L124=""),"",IF(AND(H124=F124,L124=J124),"Yes","No"))</f>
        <v/>
      </c>
    </row>
    <row r="125" ht="15" customHeight="1" spans="1:14" x14ac:dyDescent="0.25">
      <c r="A125" s="7" t="s">
        <v>357</v>
      </c>
      <c r="B125" s="7" t="s">
        <v>348</v>
      </c>
      <c r="C125" s="8" t="s">
        <v>358</v>
      </c>
      <c r="D125" s="7" t="s">
        <v>30</v>
      </c>
      <c r="E125" s="7" t="s">
        <v>50</v>
      </c>
      <c r="F125" s="7" t="s">
        <v>26</v>
      </c>
      <c r="G125" s="8" t="s">
        <v>27</v>
      </c>
      <c r="H125" s="9"/>
      <c r="I125" s="10"/>
      <c r="J125" s="7" t="s">
        <v>26</v>
      </c>
      <c r="K125" s="8" t="s">
        <v>27</v>
      </c>
      <c r="L125" s="9"/>
      <c r="M125" s="10"/>
      <c r="N125" s="11" t="str">
        <f>IF(OR(H125="",L125=""),"",IF(AND(H125=F125,L125=J125),"Yes","No"))</f>
        <v/>
      </c>
    </row>
    <row r="126" ht="15" customHeight="1" spans="1:14" x14ac:dyDescent="0.25">
      <c r="A126" s="7" t="s">
        <v>359</v>
      </c>
      <c r="B126" s="7" t="s">
        <v>348</v>
      </c>
      <c r="C126" s="8" t="s">
        <v>360</v>
      </c>
      <c r="D126" s="7" t="s">
        <v>24</v>
      </c>
      <c r="E126" s="7" t="s">
        <v>40</v>
      </c>
      <c r="F126" s="7" t="s">
        <v>26</v>
      </c>
      <c r="G126" s="8" t="s">
        <v>27</v>
      </c>
      <c r="H126" s="9"/>
      <c r="I126" s="10"/>
      <c r="J126" s="7" t="s">
        <v>26</v>
      </c>
      <c r="K126" s="8" t="s">
        <v>27</v>
      </c>
      <c r="L126" s="9"/>
      <c r="M126" s="10"/>
      <c r="N126" s="11" t="str">
        <f>IF(OR(H126="",L126=""),"",IF(AND(H126=F126,L126=J126),"Yes","No"))</f>
        <v/>
      </c>
    </row>
    <row r="127" ht="15" customHeight="1" spans="1:14" x14ac:dyDescent="0.25">
      <c r="A127" s="7" t="s">
        <v>361</v>
      </c>
      <c r="B127" s="7" t="s">
        <v>348</v>
      </c>
      <c r="C127" s="8" t="s">
        <v>362</v>
      </c>
      <c r="D127" s="7" t="s">
        <v>30</v>
      </c>
      <c r="E127" s="7" t="s">
        <v>50</v>
      </c>
      <c r="F127" s="7" t="s">
        <v>26</v>
      </c>
      <c r="G127" s="8" t="s">
        <v>27</v>
      </c>
      <c r="H127" s="9"/>
      <c r="I127" s="10"/>
      <c r="J127" s="7" t="s">
        <v>26</v>
      </c>
      <c r="K127" s="8" t="s">
        <v>27</v>
      </c>
      <c r="L127" s="9"/>
      <c r="M127" s="10"/>
      <c r="N127" s="11" t="str">
        <f>IF(OR(H127="",L127=""),"",IF(AND(H127=F127,L127=J127),"Yes","No"))</f>
        <v/>
      </c>
    </row>
    <row r="128" ht="15" customHeight="1" spans="1:14" x14ac:dyDescent="0.25">
      <c r="A128" s="7" t="s">
        <v>363</v>
      </c>
      <c r="B128" s="7" t="s">
        <v>348</v>
      </c>
      <c r="C128" s="8" t="s">
        <v>364</v>
      </c>
      <c r="D128" s="7" t="s">
        <v>104</v>
      </c>
      <c r="E128" s="7" t="s">
        <v>40</v>
      </c>
      <c r="F128" s="7" t="s">
        <v>26</v>
      </c>
      <c r="G128" s="8" t="s">
        <v>27</v>
      </c>
      <c r="H128" s="9"/>
      <c r="I128" s="10"/>
      <c r="J128" s="7" t="s">
        <v>26</v>
      </c>
      <c r="K128" s="8" t="s">
        <v>27</v>
      </c>
      <c r="L128" s="9"/>
      <c r="M128" s="10"/>
      <c r="N128" s="11" t="str">
        <f>IF(OR(H128="",L128=""),"",IF(AND(H128=F128,L128=J128),"Yes","No"))</f>
        <v/>
      </c>
    </row>
    <row r="129" ht="45" customHeight="1" spans="1:14" x14ac:dyDescent="0.25">
      <c r="A129" s="7" t="s">
        <v>365</v>
      </c>
      <c r="B129" s="7" t="s">
        <v>366</v>
      </c>
      <c r="C129" s="8" t="s">
        <v>367</v>
      </c>
      <c r="D129" s="7" t="s">
        <v>24</v>
      </c>
      <c r="E129" s="7" t="s">
        <v>40</v>
      </c>
      <c r="F129" s="7" t="s">
        <v>26</v>
      </c>
      <c r="G129" s="8" t="s">
        <v>27</v>
      </c>
      <c r="H129" s="9"/>
      <c r="I129" s="10"/>
      <c r="J129" s="7" t="s">
        <v>26</v>
      </c>
      <c r="K129" s="8" t="s">
        <v>368</v>
      </c>
      <c r="L129" s="9"/>
      <c r="M129" s="10"/>
      <c r="N129" s="11" t="str">
        <f>IF(OR(H129="",L129=""),"",IF(AND(H129=F129,L129=J129),"Yes","No"))</f>
        <v/>
      </c>
    </row>
    <row r="130" ht="45" customHeight="1" spans="1:14" x14ac:dyDescent="0.25">
      <c r="A130" s="7" t="s">
        <v>369</v>
      </c>
      <c r="B130" s="7" t="s">
        <v>366</v>
      </c>
      <c r="C130" s="8" t="s">
        <v>370</v>
      </c>
      <c r="D130" s="7" t="s">
        <v>39</v>
      </c>
      <c r="E130" s="7" t="s">
        <v>40</v>
      </c>
      <c r="F130" s="7" t="s">
        <v>26</v>
      </c>
      <c r="G130" s="8" t="s">
        <v>27</v>
      </c>
      <c r="H130" s="9"/>
      <c r="I130" s="10"/>
      <c r="J130" s="7" t="s">
        <v>26</v>
      </c>
      <c r="K130" s="8" t="s">
        <v>371</v>
      </c>
      <c r="L130" s="9"/>
      <c r="M130" s="10"/>
      <c r="N130" s="11" t="str">
        <f>IF(OR(H130="",L130=""),"",IF(AND(H130=F130,L130=J130),"Yes","No"))</f>
        <v/>
      </c>
    </row>
    <row r="131" ht="75" customHeight="1" spans="1:14" x14ac:dyDescent="0.25">
      <c r="A131" s="7" t="s">
        <v>372</v>
      </c>
      <c r="B131" s="7" t="s">
        <v>366</v>
      </c>
      <c r="C131" s="8" t="s">
        <v>373</v>
      </c>
      <c r="D131" s="7" t="s">
        <v>30</v>
      </c>
      <c r="E131" s="7" t="s">
        <v>40</v>
      </c>
      <c r="F131" s="7" t="s">
        <v>26</v>
      </c>
      <c r="G131" s="8" t="s">
        <v>27</v>
      </c>
      <c r="H131" s="9"/>
      <c r="I131" s="10"/>
      <c r="J131" s="7" t="s">
        <v>138</v>
      </c>
      <c r="K131" s="8" t="s">
        <v>374</v>
      </c>
      <c r="L131" s="9"/>
      <c r="M131" s="10"/>
      <c r="N131" s="11" t="str">
        <f>IF(OR(H131="",L131=""),"",IF(AND(H131=F131,L131=J131),"Yes","No"))</f>
        <v/>
      </c>
    </row>
    <row r="132" ht="90" customHeight="1" spans="1:14" x14ac:dyDescent="0.25">
      <c r="A132" s="7" t="s">
        <v>375</v>
      </c>
      <c r="B132" s="7" t="s">
        <v>366</v>
      </c>
      <c r="C132" s="8" t="s">
        <v>376</v>
      </c>
      <c r="D132" s="7" t="s">
        <v>98</v>
      </c>
      <c r="E132" s="7" t="s">
        <v>50</v>
      </c>
      <c r="F132" s="7" t="s">
        <v>26</v>
      </c>
      <c r="G132" s="8" t="s">
        <v>27</v>
      </c>
      <c r="H132" s="9"/>
      <c r="I132" s="10"/>
      <c r="J132" s="7" t="s">
        <v>138</v>
      </c>
      <c r="K132" s="8" t="s">
        <v>153</v>
      </c>
      <c r="L132" s="9"/>
      <c r="M132" s="10"/>
      <c r="N132" s="11" t="str">
        <f>IF(OR(H132="",L132=""),"",IF(AND(H132=F132,L132=J132),"Yes","No"))</f>
        <v/>
      </c>
    </row>
    <row r="133" ht="75" customHeight="1" spans="1:14" x14ac:dyDescent="0.25">
      <c r="A133" s="7" t="s">
        <v>377</v>
      </c>
      <c r="B133" s="7" t="s">
        <v>366</v>
      </c>
      <c r="C133" s="8" t="s">
        <v>378</v>
      </c>
      <c r="D133" s="7" t="s">
        <v>30</v>
      </c>
      <c r="E133" s="7" t="s">
        <v>156</v>
      </c>
      <c r="F133" s="7" t="s">
        <v>138</v>
      </c>
      <c r="G133" s="8" t="s">
        <v>157</v>
      </c>
      <c r="H133" s="9"/>
      <c r="I133" s="10"/>
      <c r="J133" s="7" t="s">
        <v>138</v>
      </c>
      <c r="K133" s="8" t="s">
        <v>158</v>
      </c>
      <c r="L133" s="9"/>
      <c r="M133" s="10"/>
      <c r="N133" s="11" t="str">
        <f>IF(OR(H133="",L133=""),"",IF(AND(H133=F133,L133=J133),"Yes","No"))</f>
        <v/>
      </c>
    </row>
    <row r="134" ht="45" customHeight="1" spans="1:14" x14ac:dyDescent="0.25">
      <c r="A134" s="7" t="s">
        <v>379</v>
      </c>
      <c r="B134" s="7" t="s">
        <v>366</v>
      </c>
      <c r="C134" s="8" t="s">
        <v>380</v>
      </c>
      <c r="D134" s="7" t="s">
        <v>24</v>
      </c>
      <c r="E134" s="7" t="s">
        <v>40</v>
      </c>
      <c r="F134" s="7" t="s">
        <v>26</v>
      </c>
      <c r="G134" s="8" t="s">
        <v>27</v>
      </c>
      <c r="H134" s="9"/>
      <c r="I134" s="10"/>
      <c r="J134" s="7" t="s">
        <v>26</v>
      </c>
      <c r="K134" s="8" t="s">
        <v>381</v>
      </c>
      <c r="L134" s="9"/>
      <c r="M134" s="10"/>
      <c r="N134" s="11" t="str">
        <f>IF(OR(H134="",L134=""),"",IF(AND(H134=F134,L134=J134),"Yes","No"))</f>
        <v/>
      </c>
    </row>
    <row r="135" ht="45" customHeight="1" spans="1:14" x14ac:dyDescent="0.25">
      <c r="A135" s="7" t="s">
        <v>382</v>
      </c>
      <c r="B135" s="7" t="s">
        <v>366</v>
      </c>
      <c r="C135" s="8" t="s">
        <v>383</v>
      </c>
      <c r="D135" s="7" t="s">
        <v>30</v>
      </c>
      <c r="E135" s="7" t="s">
        <v>50</v>
      </c>
      <c r="F135" s="7" t="s">
        <v>26</v>
      </c>
      <c r="G135" s="8" t="s">
        <v>27</v>
      </c>
      <c r="H135" s="9"/>
      <c r="I135" s="10"/>
      <c r="J135" s="7" t="s">
        <v>26</v>
      </c>
      <c r="K135" s="8" t="s">
        <v>384</v>
      </c>
      <c r="L135" s="9"/>
      <c r="M135" s="10"/>
      <c r="N135" s="11" t="str">
        <f>IF(OR(H135="",L135=""),"",IF(AND(H135=F135,L135=J135),"Yes","No"))</f>
        <v/>
      </c>
    </row>
    <row r="136" ht="45" customHeight="1" spans="1:14" x14ac:dyDescent="0.25">
      <c r="A136" s="7" t="s">
        <v>385</v>
      </c>
      <c r="B136" s="7" t="s">
        <v>366</v>
      </c>
      <c r="C136" s="8" t="s">
        <v>386</v>
      </c>
      <c r="D136" s="7" t="s">
        <v>24</v>
      </c>
      <c r="E136" s="7" t="s">
        <v>40</v>
      </c>
      <c r="F136" s="7" t="s">
        <v>26</v>
      </c>
      <c r="G136" s="8" t="s">
        <v>27</v>
      </c>
      <c r="H136" s="9"/>
      <c r="I136" s="10"/>
      <c r="J136" s="7" t="s">
        <v>26</v>
      </c>
      <c r="K136" s="8" t="s">
        <v>387</v>
      </c>
      <c r="L136" s="9"/>
      <c r="M136" s="10"/>
      <c r="N136" s="11" t="str">
        <f>IF(OR(H136="",L136=""),"",IF(AND(H136=F136,L136=J136),"Yes","No"))</f>
        <v/>
      </c>
    </row>
    <row r="137" ht="45" customHeight="1" spans="1:14" x14ac:dyDescent="0.25">
      <c r="A137" s="7" t="s">
        <v>388</v>
      </c>
      <c r="B137" s="7" t="s">
        <v>366</v>
      </c>
      <c r="C137" s="8" t="s">
        <v>389</v>
      </c>
      <c r="D137" s="7" t="s">
        <v>30</v>
      </c>
      <c r="E137" s="7" t="s">
        <v>50</v>
      </c>
      <c r="F137" s="7" t="s">
        <v>26</v>
      </c>
      <c r="G137" s="8" t="s">
        <v>27</v>
      </c>
      <c r="H137" s="9"/>
      <c r="I137" s="10"/>
      <c r="J137" s="7" t="s">
        <v>26</v>
      </c>
      <c r="K137" s="8" t="s">
        <v>390</v>
      </c>
      <c r="L137" s="9"/>
      <c r="M137" s="10"/>
      <c r="N137" s="11" t="str">
        <f>IF(OR(H137="",L137=""),"",IF(AND(H137=F137,L137=J137),"Yes","No"))</f>
        <v/>
      </c>
    </row>
    <row r="138" ht="45" customHeight="1" spans="1:14" x14ac:dyDescent="0.25">
      <c r="A138" s="7" t="s">
        <v>391</v>
      </c>
      <c r="B138" s="7" t="s">
        <v>392</v>
      </c>
      <c r="C138" s="8" t="s">
        <v>393</v>
      </c>
      <c r="D138" s="7" t="s">
        <v>24</v>
      </c>
      <c r="E138" s="7" t="s">
        <v>40</v>
      </c>
      <c r="F138" s="7" t="s">
        <v>26</v>
      </c>
      <c r="G138" s="8" t="s">
        <v>27</v>
      </c>
      <c r="H138" s="9"/>
      <c r="I138" s="10"/>
      <c r="J138" s="7" t="s">
        <v>26</v>
      </c>
      <c r="K138" s="8" t="s">
        <v>394</v>
      </c>
      <c r="L138" s="9"/>
      <c r="M138" s="10"/>
      <c r="N138" s="11" t="str">
        <f>IF(OR(H138="",L138=""),"",IF(AND(H138=F138,L138=J138),"Yes","No"))</f>
        <v/>
      </c>
    </row>
    <row r="139" ht="45" customHeight="1" spans="1:14" x14ac:dyDescent="0.25">
      <c r="A139" s="7" t="s">
        <v>395</v>
      </c>
      <c r="B139" s="7" t="s">
        <v>392</v>
      </c>
      <c r="C139" s="8" t="s">
        <v>183</v>
      </c>
      <c r="D139" s="7" t="s">
        <v>39</v>
      </c>
      <c r="E139" s="7" t="s">
        <v>40</v>
      </c>
      <c r="F139" s="7" t="s">
        <v>26</v>
      </c>
      <c r="G139" s="8" t="s">
        <v>27</v>
      </c>
      <c r="H139" s="9"/>
      <c r="I139" s="10"/>
      <c r="J139" s="7" t="s">
        <v>26</v>
      </c>
      <c r="K139" s="8" t="s">
        <v>396</v>
      </c>
      <c r="L139" s="9"/>
      <c r="M139" s="10"/>
      <c r="N139" s="11" t="str">
        <f>IF(OR(H139="",L139=""),"",IF(AND(H139=F139,L139=J139),"Yes","No"))</f>
        <v/>
      </c>
    </row>
    <row r="140" ht="75" customHeight="1" spans="1:14" x14ac:dyDescent="0.25">
      <c r="A140" s="7" t="s">
        <v>397</v>
      </c>
      <c r="B140" s="7" t="s">
        <v>392</v>
      </c>
      <c r="C140" s="8" t="s">
        <v>186</v>
      </c>
      <c r="D140" s="7" t="s">
        <v>30</v>
      </c>
      <c r="E140" s="7" t="s">
        <v>40</v>
      </c>
      <c r="F140" s="7" t="s">
        <v>26</v>
      </c>
      <c r="G140" s="8" t="s">
        <v>27</v>
      </c>
      <c r="H140" s="9"/>
      <c r="I140" s="10"/>
      <c r="J140" s="7" t="s">
        <v>138</v>
      </c>
      <c r="K140" s="8" t="s">
        <v>398</v>
      </c>
      <c r="L140" s="9"/>
      <c r="M140" s="10"/>
      <c r="N140" s="11" t="str">
        <f>IF(OR(H140="",L140=""),"",IF(AND(H140=F140,L140=J140),"Yes","No"))</f>
        <v/>
      </c>
    </row>
    <row r="141" ht="90" customHeight="1" spans="1:14" x14ac:dyDescent="0.25">
      <c r="A141" s="7" t="s">
        <v>399</v>
      </c>
      <c r="B141" s="7" t="s">
        <v>392</v>
      </c>
      <c r="C141" s="8" t="s">
        <v>189</v>
      </c>
      <c r="D141" s="7" t="s">
        <v>98</v>
      </c>
      <c r="E141" s="7" t="s">
        <v>50</v>
      </c>
      <c r="F141" s="7" t="s">
        <v>26</v>
      </c>
      <c r="G141" s="8" t="s">
        <v>27</v>
      </c>
      <c r="H141" s="9"/>
      <c r="I141" s="10"/>
      <c r="J141" s="7" t="s">
        <v>138</v>
      </c>
      <c r="K141" s="8" t="s">
        <v>153</v>
      </c>
      <c r="L141" s="9"/>
      <c r="M141" s="10"/>
      <c r="N141" s="11" t="str">
        <f>IF(OR(H141="",L141=""),"",IF(AND(H141=F141,L141=J141),"Yes","No"))</f>
        <v/>
      </c>
    </row>
    <row r="142" ht="75" customHeight="1" spans="1:14" x14ac:dyDescent="0.25">
      <c r="A142" s="7" t="s">
        <v>400</v>
      </c>
      <c r="B142" s="7" t="s">
        <v>392</v>
      </c>
      <c r="C142" s="8" t="s">
        <v>191</v>
      </c>
      <c r="D142" s="7" t="s">
        <v>30</v>
      </c>
      <c r="E142" s="7" t="s">
        <v>156</v>
      </c>
      <c r="F142" s="7" t="s">
        <v>138</v>
      </c>
      <c r="G142" s="8" t="s">
        <v>157</v>
      </c>
      <c r="H142" s="9"/>
      <c r="I142" s="10"/>
      <c r="J142" s="7" t="s">
        <v>138</v>
      </c>
      <c r="K142" s="8" t="s">
        <v>158</v>
      </c>
      <c r="L142" s="9"/>
      <c r="M142" s="10"/>
      <c r="N142" s="11" t="str">
        <f>IF(OR(H142="",L142=""),"",IF(AND(H142=F142,L142=J142),"Yes","No"))</f>
        <v/>
      </c>
    </row>
    <row r="143" ht="45" customHeight="1" spans="1:14" x14ac:dyDescent="0.25">
      <c r="A143" s="7" t="s">
        <v>401</v>
      </c>
      <c r="B143" s="7" t="s">
        <v>392</v>
      </c>
      <c r="C143" s="8" t="s">
        <v>402</v>
      </c>
      <c r="D143" s="7" t="s">
        <v>24</v>
      </c>
      <c r="E143" s="7" t="s">
        <v>40</v>
      </c>
      <c r="F143" s="7" t="s">
        <v>26</v>
      </c>
      <c r="G143" s="8" t="s">
        <v>27</v>
      </c>
      <c r="H143" s="9"/>
      <c r="I143" s="10"/>
      <c r="J143" s="7" t="s">
        <v>26</v>
      </c>
      <c r="K143" s="8" t="s">
        <v>403</v>
      </c>
      <c r="L143" s="9"/>
      <c r="M143" s="10"/>
      <c r="N143" s="11" t="str">
        <f>IF(OR(H143="",L143=""),"",IF(AND(H143=F143,L143=J143),"Yes","No"))</f>
        <v/>
      </c>
    </row>
    <row r="144" ht="45" customHeight="1" spans="1:14" x14ac:dyDescent="0.25">
      <c r="A144" s="7" t="s">
        <v>404</v>
      </c>
      <c r="B144" s="7" t="s">
        <v>392</v>
      </c>
      <c r="C144" s="8" t="s">
        <v>405</v>
      </c>
      <c r="D144" s="7" t="s">
        <v>30</v>
      </c>
      <c r="E144" s="7" t="s">
        <v>50</v>
      </c>
      <c r="F144" s="7" t="s">
        <v>26</v>
      </c>
      <c r="G144" s="8" t="s">
        <v>27</v>
      </c>
      <c r="H144" s="9"/>
      <c r="I144" s="10"/>
      <c r="J144" s="7" t="s">
        <v>26</v>
      </c>
      <c r="K144" s="8" t="s">
        <v>406</v>
      </c>
      <c r="L144" s="9"/>
      <c r="M144" s="10"/>
      <c r="N144" s="11" t="str">
        <f>IF(OR(H144="",L144=""),"",IF(AND(H144=F144,L144=J144),"Yes","No"))</f>
        <v/>
      </c>
    </row>
    <row r="145" ht="45" customHeight="1" spans="1:14" x14ac:dyDescent="0.25">
      <c r="A145" s="7" t="s">
        <v>407</v>
      </c>
      <c r="B145" s="7" t="s">
        <v>392</v>
      </c>
      <c r="C145" s="8" t="s">
        <v>408</v>
      </c>
      <c r="D145" s="7" t="s">
        <v>24</v>
      </c>
      <c r="E145" s="7" t="s">
        <v>40</v>
      </c>
      <c r="F145" s="7" t="s">
        <v>26</v>
      </c>
      <c r="G145" s="8" t="s">
        <v>27</v>
      </c>
      <c r="H145" s="9"/>
      <c r="I145" s="10"/>
      <c r="J145" s="7" t="s">
        <v>26</v>
      </c>
      <c r="K145" s="8" t="s">
        <v>409</v>
      </c>
      <c r="L145" s="9"/>
      <c r="M145" s="10"/>
      <c r="N145" s="11" t="str">
        <f>IF(OR(H145="",L145=""),"",IF(AND(H145=F145,L145=J145),"Yes","No"))</f>
        <v/>
      </c>
    </row>
    <row r="146" ht="45" customHeight="1" spans="1:14" x14ac:dyDescent="0.25">
      <c r="A146" s="7" t="s">
        <v>410</v>
      </c>
      <c r="B146" s="7" t="s">
        <v>392</v>
      </c>
      <c r="C146" s="8" t="s">
        <v>411</v>
      </c>
      <c r="D146" s="7" t="s">
        <v>30</v>
      </c>
      <c r="E146" s="7" t="s">
        <v>50</v>
      </c>
      <c r="F146" s="7" t="s">
        <v>26</v>
      </c>
      <c r="G146" s="8" t="s">
        <v>27</v>
      </c>
      <c r="H146" s="9"/>
      <c r="I146" s="10"/>
      <c r="J146" s="7" t="s">
        <v>26</v>
      </c>
      <c r="K146" s="8" t="s">
        <v>412</v>
      </c>
      <c r="L146" s="9"/>
      <c r="M146" s="10"/>
      <c r="N146" s="11" t="str">
        <f>IF(OR(H146="",L146=""),"",IF(AND(H146=F146,L146=J146),"Yes","No"))</f>
        <v/>
      </c>
    </row>
    <row r="147" ht="45" customHeight="1" spans="1:14" x14ac:dyDescent="0.25">
      <c r="A147" s="7" t="s">
        <v>413</v>
      </c>
      <c r="B147" s="7" t="s">
        <v>414</v>
      </c>
      <c r="C147" s="8" t="s">
        <v>415</v>
      </c>
      <c r="D147" s="7" t="s">
        <v>24</v>
      </c>
      <c r="E147" s="7" t="s">
        <v>40</v>
      </c>
      <c r="F147" s="7" t="s">
        <v>26</v>
      </c>
      <c r="G147" s="8" t="s">
        <v>27</v>
      </c>
      <c r="H147" s="9"/>
      <c r="I147" s="10"/>
      <c r="J147" s="7" t="s">
        <v>26</v>
      </c>
      <c r="K147" s="8" t="s">
        <v>416</v>
      </c>
      <c r="L147" s="9"/>
      <c r="M147" s="10"/>
      <c r="N147" s="11" t="str">
        <f>IF(OR(H147="",L147=""),"",IF(AND(H147=F147,L147=J147),"Yes","No"))</f>
        <v/>
      </c>
    </row>
    <row r="148" ht="45" customHeight="1" spans="1:14" x14ac:dyDescent="0.25">
      <c r="A148" s="7" t="s">
        <v>417</v>
      </c>
      <c r="B148" s="7" t="s">
        <v>414</v>
      </c>
      <c r="C148" s="8" t="s">
        <v>183</v>
      </c>
      <c r="D148" s="7" t="s">
        <v>39</v>
      </c>
      <c r="E148" s="7" t="s">
        <v>40</v>
      </c>
      <c r="F148" s="7" t="s">
        <v>26</v>
      </c>
      <c r="G148" s="8" t="s">
        <v>27</v>
      </c>
      <c r="H148" s="9"/>
      <c r="I148" s="10"/>
      <c r="J148" s="7" t="s">
        <v>26</v>
      </c>
      <c r="K148" s="8" t="s">
        <v>418</v>
      </c>
      <c r="L148" s="9"/>
      <c r="M148" s="10"/>
      <c r="N148" s="11" t="str">
        <f>IF(OR(H148="",L148=""),"",IF(AND(H148=F148,L148=J148),"Yes","No"))</f>
        <v/>
      </c>
    </row>
    <row r="149" ht="75" customHeight="1" spans="1:14" x14ac:dyDescent="0.25">
      <c r="A149" s="7" t="s">
        <v>419</v>
      </c>
      <c r="B149" s="7" t="s">
        <v>414</v>
      </c>
      <c r="C149" s="8" t="s">
        <v>186</v>
      </c>
      <c r="D149" s="7" t="s">
        <v>30</v>
      </c>
      <c r="E149" s="7" t="s">
        <v>40</v>
      </c>
      <c r="F149" s="7" t="s">
        <v>26</v>
      </c>
      <c r="G149" s="8" t="s">
        <v>27</v>
      </c>
      <c r="H149" s="9"/>
      <c r="I149" s="10"/>
      <c r="J149" s="7" t="s">
        <v>138</v>
      </c>
      <c r="K149" s="8" t="s">
        <v>420</v>
      </c>
      <c r="L149" s="9"/>
      <c r="M149" s="10"/>
      <c r="N149" s="11" t="str">
        <f>IF(OR(H149="",L149=""),"",IF(AND(H149=F149,L149=J149),"Yes","No"))</f>
        <v/>
      </c>
    </row>
    <row r="150" ht="90" customHeight="1" spans="1:14" x14ac:dyDescent="0.25">
      <c r="A150" s="7" t="s">
        <v>421</v>
      </c>
      <c r="B150" s="7" t="s">
        <v>414</v>
      </c>
      <c r="C150" s="8" t="s">
        <v>189</v>
      </c>
      <c r="D150" s="7" t="s">
        <v>98</v>
      </c>
      <c r="E150" s="7" t="s">
        <v>50</v>
      </c>
      <c r="F150" s="7" t="s">
        <v>26</v>
      </c>
      <c r="G150" s="8" t="s">
        <v>27</v>
      </c>
      <c r="H150" s="9"/>
      <c r="I150" s="10"/>
      <c r="J150" s="7" t="s">
        <v>138</v>
      </c>
      <c r="K150" s="8" t="s">
        <v>153</v>
      </c>
      <c r="L150" s="9"/>
      <c r="M150" s="10"/>
      <c r="N150" s="11" t="str">
        <f>IF(OR(H150="",L150=""),"",IF(AND(H150=F150,L150=J150),"Yes","No"))</f>
        <v/>
      </c>
    </row>
    <row r="151" ht="75" customHeight="1" spans="1:14" x14ac:dyDescent="0.25">
      <c r="A151" s="7" t="s">
        <v>422</v>
      </c>
      <c r="B151" s="7" t="s">
        <v>414</v>
      </c>
      <c r="C151" s="8" t="s">
        <v>191</v>
      </c>
      <c r="D151" s="7" t="s">
        <v>30</v>
      </c>
      <c r="E151" s="7" t="s">
        <v>156</v>
      </c>
      <c r="F151" s="7" t="s">
        <v>138</v>
      </c>
      <c r="G151" s="8" t="s">
        <v>157</v>
      </c>
      <c r="H151" s="9"/>
      <c r="I151" s="10"/>
      <c r="J151" s="7" t="s">
        <v>138</v>
      </c>
      <c r="K151" s="8" t="s">
        <v>158</v>
      </c>
      <c r="L151" s="9"/>
      <c r="M151" s="10"/>
      <c r="N151" s="11" t="str">
        <f>IF(OR(H151="",L151=""),"",IF(AND(H151=F151,L151=J151),"Yes","No"))</f>
        <v/>
      </c>
    </row>
    <row r="152" ht="45" customHeight="1" spans="1:14" x14ac:dyDescent="0.25">
      <c r="A152" s="7" t="s">
        <v>423</v>
      </c>
      <c r="B152" s="7" t="s">
        <v>414</v>
      </c>
      <c r="C152" s="8" t="s">
        <v>424</v>
      </c>
      <c r="D152" s="7" t="s">
        <v>24</v>
      </c>
      <c r="E152" s="7" t="s">
        <v>40</v>
      </c>
      <c r="F152" s="7" t="s">
        <v>26</v>
      </c>
      <c r="G152" s="8" t="s">
        <v>27</v>
      </c>
      <c r="H152" s="9"/>
      <c r="I152" s="10"/>
      <c r="J152" s="7" t="s">
        <v>26</v>
      </c>
      <c r="K152" s="8" t="s">
        <v>425</v>
      </c>
      <c r="L152" s="9"/>
      <c r="M152" s="10"/>
      <c r="N152" s="11" t="str">
        <f>IF(OR(H152="",L152=""),"",IF(AND(H152=F152,L152=J152),"Yes","No"))</f>
        <v/>
      </c>
    </row>
    <row r="153" ht="45" customHeight="1" spans="1:14" x14ac:dyDescent="0.25">
      <c r="A153" s="7" t="s">
        <v>426</v>
      </c>
      <c r="B153" s="7" t="s">
        <v>414</v>
      </c>
      <c r="C153" s="8" t="s">
        <v>427</v>
      </c>
      <c r="D153" s="7" t="s">
        <v>30</v>
      </c>
      <c r="E153" s="7" t="s">
        <v>50</v>
      </c>
      <c r="F153" s="7" t="s">
        <v>26</v>
      </c>
      <c r="G153" s="8" t="s">
        <v>27</v>
      </c>
      <c r="H153" s="9"/>
      <c r="I153" s="10"/>
      <c r="J153" s="7" t="s">
        <v>26</v>
      </c>
      <c r="K153" s="8" t="s">
        <v>428</v>
      </c>
      <c r="L153" s="9"/>
      <c r="M153" s="10"/>
      <c r="N153" s="11" t="str">
        <f>IF(OR(H153="",L153=""),"",IF(AND(H153=F153,L153=J153),"Yes","No"))</f>
        <v/>
      </c>
    </row>
    <row r="154" ht="45" customHeight="1" spans="1:14" x14ac:dyDescent="0.25">
      <c r="A154" s="7" t="s">
        <v>429</v>
      </c>
      <c r="B154" s="7" t="s">
        <v>414</v>
      </c>
      <c r="C154" s="8" t="s">
        <v>430</v>
      </c>
      <c r="D154" s="7" t="s">
        <v>24</v>
      </c>
      <c r="E154" s="7" t="s">
        <v>40</v>
      </c>
      <c r="F154" s="7" t="s">
        <v>26</v>
      </c>
      <c r="G154" s="8" t="s">
        <v>27</v>
      </c>
      <c r="H154" s="9"/>
      <c r="I154" s="10"/>
      <c r="J154" s="7" t="s">
        <v>26</v>
      </c>
      <c r="K154" s="8" t="s">
        <v>431</v>
      </c>
      <c r="L154" s="9"/>
      <c r="M154" s="10"/>
      <c r="N154" s="11" t="str">
        <f>IF(OR(H154="",L154=""),"",IF(AND(H154=F154,L154=J154),"Yes","No"))</f>
        <v/>
      </c>
    </row>
    <row r="155" ht="45" customHeight="1" spans="1:14" x14ac:dyDescent="0.25">
      <c r="A155" s="7" t="s">
        <v>432</v>
      </c>
      <c r="B155" s="7" t="s">
        <v>414</v>
      </c>
      <c r="C155" s="8" t="s">
        <v>433</v>
      </c>
      <c r="D155" s="7" t="s">
        <v>30</v>
      </c>
      <c r="E155" s="7" t="s">
        <v>50</v>
      </c>
      <c r="F155" s="7" t="s">
        <v>26</v>
      </c>
      <c r="G155" s="8" t="s">
        <v>27</v>
      </c>
      <c r="H155" s="9"/>
      <c r="I155" s="10"/>
      <c r="J155" s="7" t="s">
        <v>26</v>
      </c>
      <c r="K155" s="8" t="s">
        <v>434</v>
      </c>
      <c r="L155" s="9"/>
      <c r="M155" s="10"/>
      <c r="N155" s="11" t="str">
        <f>IF(OR(H155="",L155=""),"",IF(AND(H155=F155,L155=J155),"Yes","No"))</f>
        <v/>
      </c>
    </row>
    <row r="156" ht="45" customHeight="1" spans="1:14" x14ac:dyDescent="0.25">
      <c r="A156" s="7" t="s">
        <v>435</v>
      </c>
      <c r="B156" s="7" t="s">
        <v>436</v>
      </c>
      <c r="C156" s="8" t="s">
        <v>437</v>
      </c>
      <c r="D156" s="7" t="s">
        <v>24</v>
      </c>
      <c r="E156" s="7" t="s">
        <v>40</v>
      </c>
      <c r="F156" s="7" t="s">
        <v>26</v>
      </c>
      <c r="G156" s="8" t="s">
        <v>27</v>
      </c>
      <c r="H156" s="9"/>
      <c r="I156" s="10"/>
      <c r="J156" s="7" t="s">
        <v>26</v>
      </c>
      <c r="K156" s="8" t="s">
        <v>438</v>
      </c>
      <c r="L156" s="9"/>
      <c r="M156" s="10"/>
      <c r="N156" s="11" t="str">
        <f>IF(OR(H156="",L156=""),"",IF(AND(H156=F156,L156=J156),"Yes","No"))</f>
        <v/>
      </c>
    </row>
    <row r="157" ht="45" customHeight="1" spans="1:14" x14ac:dyDescent="0.25">
      <c r="A157" s="7" t="s">
        <v>439</v>
      </c>
      <c r="B157" s="7" t="s">
        <v>436</v>
      </c>
      <c r="C157" s="8" t="s">
        <v>183</v>
      </c>
      <c r="D157" s="7" t="s">
        <v>39</v>
      </c>
      <c r="E157" s="7" t="s">
        <v>40</v>
      </c>
      <c r="F157" s="7" t="s">
        <v>26</v>
      </c>
      <c r="G157" s="8" t="s">
        <v>27</v>
      </c>
      <c r="H157" s="9"/>
      <c r="I157" s="10"/>
      <c r="J157" s="7" t="s">
        <v>26</v>
      </c>
      <c r="K157" s="8" t="s">
        <v>440</v>
      </c>
      <c r="L157" s="9"/>
      <c r="M157" s="10"/>
      <c r="N157" s="11" t="str">
        <f>IF(OR(H157="",L157=""),"",IF(AND(H157=F157,L157=J157),"Yes","No"))</f>
        <v/>
      </c>
    </row>
    <row r="158" ht="75" customHeight="1" spans="1:14" x14ac:dyDescent="0.25">
      <c r="A158" s="7" t="s">
        <v>441</v>
      </c>
      <c r="B158" s="7" t="s">
        <v>436</v>
      </c>
      <c r="C158" s="8" t="s">
        <v>186</v>
      </c>
      <c r="D158" s="7" t="s">
        <v>30</v>
      </c>
      <c r="E158" s="7" t="s">
        <v>40</v>
      </c>
      <c r="F158" s="7" t="s">
        <v>26</v>
      </c>
      <c r="G158" s="8" t="s">
        <v>27</v>
      </c>
      <c r="H158" s="9"/>
      <c r="I158" s="10"/>
      <c r="J158" s="7" t="s">
        <v>138</v>
      </c>
      <c r="K158" s="8" t="s">
        <v>442</v>
      </c>
      <c r="L158" s="9"/>
      <c r="M158" s="10"/>
      <c r="N158" s="11" t="str">
        <f>IF(OR(H158="",L158=""),"",IF(AND(H158=F158,L158=J158),"Yes","No"))</f>
        <v/>
      </c>
    </row>
    <row r="159" ht="90" customHeight="1" spans="1:14" x14ac:dyDescent="0.25">
      <c r="A159" s="7" t="s">
        <v>443</v>
      </c>
      <c r="B159" s="7" t="s">
        <v>436</v>
      </c>
      <c r="C159" s="8" t="s">
        <v>189</v>
      </c>
      <c r="D159" s="7" t="s">
        <v>98</v>
      </c>
      <c r="E159" s="7" t="s">
        <v>50</v>
      </c>
      <c r="F159" s="7" t="s">
        <v>26</v>
      </c>
      <c r="G159" s="8" t="s">
        <v>27</v>
      </c>
      <c r="H159" s="9"/>
      <c r="I159" s="10"/>
      <c r="J159" s="7" t="s">
        <v>138</v>
      </c>
      <c r="K159" s="8" t="s">
        <v>153</v>
      </c>
      <c r="L159" s="9"/>
      <c r="M159" s="10"/>
      <c r="N159" s="11" t="str">
        <f>IF(OR(H159="",L159=""),"",IF(AND(H159=F159,L159=J159),"Yes","No"))</f>
        <v/>
      </c>
    </row>
    <row r="160" ht="75" customHeight="1" spans="1:14" x14ac:dyDescent="0.25">
      <c r="A160" s="7" t="s">
        <v>444</v>
      </c>
      <c r="B160" s="7" t="s">
        <v>436</v>
      </c>
      <c r="C160" s="8" t="s">
        <v>191</v>
      </c>
      <c r="D160" s="7" t="s">
        <v>30</v>
      </c>
      <c r="E160" s="7" t="s">
        <v>156</v>
      </c>
      <c r="F160" s="7" t="s">
        <v>138</v>
      </c>
      <c r="G160" s="8" t="s">
        <v>157</v>
      </c>
      <c r="H160" s="9"/>
      <c r="I160" s="10"/>
      <c r="J160" s="7" t="s">
        <v>138</v>
      </c>
      <c r="K160" s="8" t="s">
        <v>158</v>
      </c>
      <c r="L160" s="9"/>
      <c r="M160" s="10"/>
      <c r="N160" s="11" t="str">
        <f>IF(OR(H160="",L160=""),"",IF(AND(H160=F160,L160=J160),"Yes","No"))</f>
        <v/>
      </c>
    </row>
    <row r="161" ht="45" customHeight="1" spans="1:14" x14ac:dyDescent="0.25">
      <c r="A161" s="7" t="s">
        <v>445</v>
      </c>
      <c r="B161" s="7" t="s">
        <v>436</v>
      </c>
      <c r="C161" s="8" t="s">
        <v>446</v>
      </c>
      <c r="D161" s="7" t="s">
        <v>24</v>
      </c>
      <c r="E161" s="7" t="s">
        <v>40</v>
      </c>
      <c r="F161" s="7" t="s">
        <v>26</v>
      </c>
      <c r="G161" s="8" t="s">
        <v>27</v>
      </c>
      <c r="H161" s="9"/>
      <c r="I161" s="10"/>
      <c r="J161" s="7" t="s">
        <v>26</v>
      </c>
      <c r="K161" s="8" t="s">
        <v>447</v>
      </c>
      <c r="L161" s="9"/>
      <c r="M161" s="10"/>
      <c r="N161" s="11" t="str">
        <f>IF(OR(H161="",L161=""),"",IF(AND(H161=F161,L161=J161),"Yes","No"))</f>
        <v/>
      </c>
    </row>
    <row r="162" ht="45" customHeight="1" spans="1:14" x14ac:dyDescent="0.25">
      <c r="A162" s="7" t="s">
        <v>448</v>
      </c>
      <c r="B162" s="7" t="s">
        <v>436</v>
      </c>
      <c r="C162" s="8" t="s">
        <v>449</v>
      </c>
      <c r="D162" s="7" t="s">
        <v>30</v>
      </c>
      <c r="E162" s="7" t="s">
        <v>50</v>
      </c>
      <c r="F162" s="7" t="s">
        <v>26</v>
      </c>
      <c r="G162" s="8" t="s">
        <v>27</v>
      </c>
      <c r="H162" s="9"/>
      <c r="I162" s="10"/>
      <c r="J162" s="7" t="s">
        <v>26</v>
      </c>
      <c r="K162" s="8" t="s">
        <v>450</v>
      </c>
      <c r="L162" s="9"/>
      <c r="M162" s="10"/>
      <c r="N162" s="11" t="str">
        <f>IF(OR(H162="",L162=""),"",IF(AND(H162=F162,L162=J162),"Yes","No"))</f>
        <v/>
      </c>
    </row>
    <row r="163" ht="45" customHeight="1" spans="1:14" x14ac:dyDescent="0.25">
      <c r="A163" s="7" t="s">
        <v>451</v>
      </c>
      <c r="B163" s="7" t="s">
        <v>436</v>
      </c>
      <c r="C163" s="8" t="s">
        <v>452</v>
      </c>
      <c r="D163" s="7" t="s">
        <v>24</v>
      </c>
      <c r="E163" s="7" t="s">
        <v>40</v>
      </c>
      <c r="F163" s="7" t="s">
        <v>26</v>
      </c>
      <c r="G163" s="8" t="s">
        <v>27</v>
      </c>
      <c r="H163" s="9"/>
      <c r="I163" s="10"/>
      <c r="J163" s="7" t="s">
        <v>26</v>
      </c>
      <c r="K163" s="8" t="s">
        <v>453</v>
      </c>
      <c r="L163" s="9"/>
      <c r="M163" s="10"/>
      <c r="N163" s="11" t="str">
        <f>IF(OR(H163="",L163=""),"",IF(AND(H163=F163,L163=J163),"Yes","No"))</f>
        <v/>
      </c>
    </row>
    <row r="164" ht="45" customHeight="1" spans="1:14" x14ac:dyDescent="0.25">
      <c r="A164" s="7" t="s">
        <v>454</v>
      </c>
      <c r="B164" s="7" t="s">
        <v>436</v>
      </c>
      <c r="C164" s="8" t="s">
        <v>455</v>
      </c>
      <c r="D164" s="7" t="s">
        <v>30</v>
      </c>
      <c r="E164" s="7" t="s">
        <v>50</v>
      </c>
      <c r="F164" s="7" t="s">
        <v>26</v>
      </c>
      <c r="G164" s="8" t="s">
        <v>27</v>
      </c>
      <c r="H164" s="9"/>
      <c r="I164" s="10"/>
      <c r="J164" s="7" t="s">
        <v>26</v>
      </c>
      <c r="K164" s="8" t="s">
        <v>456</v>
      </c>
      <c r="L164" s="9"/>
      <c r="M164" s="10"/>
      <c r="N164" s="11" t="str">
        <f>IF(OR(H164="",L164=""),"",IF(AND(H164=F164,L164=J164),"Yes","No"))</f>
        <v/>
      </c>
    </row>
    <row r="165" ht="45" customHeight="1" spans="1:14" x14ac:dyDescent="0.25">
      <c r="A165" s="7" t="s">
        <v>457</v>
      </c>
      <c r="B165" s="7" t="s">
        <v>436</v>
      </c>
      <c r="C165" s="8" t="s">
        <v>458</v>
      </c>
      <c r="D165" s="7" t="s">
        <v>24</v>
      </c>
      <c r="E165" s="7" t="s">
        <v>50</v>
      </c>
      <c r="F165" s="7" t="s">
        <v>26</v>
      </c>
      <c r="G165" s="8" t="s">
        <v>27</v>
      </c>
      <c r="H165" s="9"/>
      <c r="I165" s="10"/>
      <c r="J165" s="7" t="s">
        <v>26</v>
      </c>
      <c r="K165" s="8" t="s">
        <v>459</v>
      </c>
      <c r="L165" s="9"/>
      <c r="M165" s="10"/>
      <c r="N165" s="11" t="str">
        <f>IF(OR(H165="",L165=""),"",IF(AND(H165=F165,L165=J165),"Yes","No"))</f>
        <v/>
      </c>
    </row>
    <row r="166" ht="15" customHeight="1" spans="1:14" x14ac:dyDescent="0.25">
      <c r="A166" s="7" t="s">
        <v>460</v>
      </c>
      <c r="B166" s="7" t="s">
        <v>461</v>
      </c>
      <c r="C166" s="8" t="s">
        <v>462</v>
      </c>
      <c r="D166" s="7" t="s">
        <v>24</v>
      </c>
      <c r="E166" s="7" t="s">
        <v>40</v>
      </c>
      <c r="F166" s="7" t="s">
        <v>26</v>
      </c>
      <c r="G166" s="8" t="s">
        <v>27</v>
      </c>
      <c r="H166" s="9"/>
      <c r="I166" s="10"/>
      <c r="J166" s="7" t="s">
        <v>26</v>
      </c>
      <c r="K166" s="8" t="s">
        <v>27</v>
      </c>
      <c r="L166" s="9"/>
      <c r="M166" s="10"/>
      <c r="N166" s="11" t="str">
        <f>IF(OR(H166="",L166=""),"",IF(AND(H166=F166,L166=J166),"Yes","No"))</f>
        <v/>
      </c>
    </row>
    <row r="167" ht="15" customHeight="1" spans="1:14" x14ac:dyDescent="0.25">
      <c r="A167" s="7" t="s">
        <v>463</v>
      </c>
      <c r="B167" s="7" t="s">
        <v>461</v>
      </c>
      <c r="C167" s="8" t="s">
        <v>183</v>
      </c>
      <c r="D167" s="7" t="s">
        <v>39</v>
      </c>
      <c r="E167" s="7" t="s">
        <v>40</v>
      </c>
      <c r="F167" s="7" t="s">
        <v>26</v>
      </c>
      <c r="G167" s="8" t="s">
        <v>27</v>
      </c>
      <c r="H167" s="9"/>
      <c r="I167" s="10"/>
      <c r="J167" s="7" t="s">
        <v>26</v>
      </c>
      <c r="K167" s="8" t="s">
        <v>27</v>
      </c>
      <c r="L167" s="9"/>
      <c r="M167" s="10"/>
      <c r="N167" s="11" t="str">
        <f>IF(OR(H167="",L167=""),"",IF(AND(H167=F167,L167=J167),"Yes","No"))</f>
        <v/>
      </c>
    </row>
    <row r="168" ht="15" customHeight="1" spans="1:14" x14ac:dyDescent="0.25">
      <c r="A168" s="7" t="s">
        <v>464</v>
      </c>
      <c r="B168" s="7" t="s">
        <v>461</v>
      </c>
      <c r="C168" s="8" t="s">
        <v>186</v>
      </c>
      <c r="D168" s="7" t="s">
        <v>30</v>
      </c>
      <c r="E168" s="7" t="s">
        <v>40</v>
      </c>
      <c r="F168" s="7" t="s">
        <v>26</v>
      </c>
      <c r="G168" s="8" t="s">
        <v>27</v>
      </c>
      <c r="H168" s="9"/>
      <c r="I168" s="10"/>
      <c r="J168" s="7" t="s">
        <v>26</v>
      </c>
      <c r="K168" s="8" t="s">
        <v>27</v>
      </c>
      <c r="L168" s="9"/>
      <c r="M168" s="10"/>
      <c r="N168" s="11" t="str">
        <f>IF(OR(H168="",L168=""),"",IF(AND(H168=F168,L168=J168),"Yes","No"))</f>
        <v/>
      </c>
    </row>
    <row r="169" ht="90" customHeight="1" spans="1:14" x14ac:dyDescent="0.25">
      <c r="A169" s="7" t="s">
        <v>465</v>
      </c>
      <c r="B169" s="7" t="s">
        <v>461</v>
      </c>
      <c r="C169" s="8" t="s">
        <v>189</v>
      </c>
      <c r="D169" s="7" t="s">
        <v>98</v>
      </c>
      <c r="E169" s="7" t="s">
        <v>50</v>
      </c>
      <c r="F169" s="7" t="s">
        <v>26</v>
      </c>
      <c r="G169" s="8" t="s">
        <v>27</v>
      </c>
      <c r="H169" s="9"/>
      <c r="I169" s="10"/>
      <c r="J169" s="7" t="s">
        <v>138</v>
      </c>
      <c r="K169" s="8" t="s">
        <v>153</v>
      </c>
      <c r="L169" s="9"/>
      <c r="M169" s="10"/>
      <c r="N169" s="11" t="str">
        <f>IF(OR(H169="",L169=""),"",IF(AND(H169=F169,L169=J169),"Yes","No"))</f>
        <v/>
      </c>
    </row>
    <row r="170" ht="75" customHeight="1" spans="1:14" x14ac:dyDescent="0.25">
      <c r="A170" s="7" t="s">
        <v>466</v>
      </c>
      <c r="B170" s="7" t="s">
        <v>461</v>
      </c>
      <c r="C170" s="8" t="s">
        <v>191</v>
      </c>
      <c r="D170" s="7" t="s">
        <v>30</v>
      </c>
      <c r="E170" s="7" t="s">
        <v>156</v>
      </c>
      <c r="F170" s="7" t="s">
        <v>138</v>
      </c>
      <c r="G170" s="8" t="s">
        <v>157</v>
      </c>
      <c r="H170" s="9"/>
      <c r="I170" s="10"/>
      <c r="J170" s="7" t="s">
        <v>138</v>
      </c>
      <c r="K170" s="8" t="s">
        <v>158</v>
      </c>
      <c r="L170" s="9"/>
      <c r="M170" s="10"/>
      <c r="N170" s="11" t="str">
        <f>IF(OR(H170="",L170=""),"",IF(AND(H170=F170,L170=J170),"Yes","No"))</f>
        <v/>
      </c>
    </row>
    <row r="171" ht="60" customHeight="1" spans="1:14" x14ac:dyDescent="0.25">
      <c r="A171" s="7" t="s">
        <v>467</v>
      </c>
      <c r="B171" s="7" t="s">
        <v>461</v>
      </c>
      <c r="C171" s="8" t="s">
        <v>468</v>
      </c>
      <c r="D171" s="7" t="s">
        <v>24</v>
      </c>
      <c r="E171" s="7" t="s">
        <v>40</v>
      </c>
      <c r="F171" s="7" t="s">
        <v>26</v>
      </c>
      <c r="G171" s="8" t="s">
        <v>27</v>
      </c>
      <c r="H171" s="9"/>
      <c r="I171" s="10"/>
      <c r="J171" s="7" t="s">
        <v>26</v>
      </c>
      <c r="K171" s="8" t="s">
        <v>469</v>
      </c>
      <c r="L171" s="9"/>
      <c r="M171" s="10"/>
      <c r="N171" s="11" t="str">
        <f>IF(OR(H171="",L171=""),"",IF(AND(H171=F171,L171=J171),"Yes","No"))</f>
        <v/>
      </c>
    </row>
    <row r="172" ht="60" customHeight="1" spans="1:14" x14ac:dyDescent="0.25">
      <c r="A172" s="7" t="s">
        <v>470</v>
      </c>
      <c r="B172" s="7" t="s">
        <v>461</v>
      </c>
      <c r="C172" s="8" t="s">
        <v>471</v>
      </c>
      <c r="D172" s="7" t="s">
        <v>30</v>
      </c>
      <c r="E172" s="7" t="s">
        <v>50</v>
      </c>
      <c r="F172" s="7" t="s">
        <v>26</v>
      </c>
      <c r="G172" s="8" t="s">
        <v>27</v>
      </c>
      <c r="H172" s="9"/>
      <c r="I172" s="10"/>
      <c r="J172" s="7" t="s">
        <v>26</v>
      </c>
      <c r="K172" s="8" t="s">
        <v>472</v>
      </c>
      <c r="L172" s="9"/>
      <c r="M172" s="10"/>
      <c r="N172" s="11" t="str">
        <f>IF(OR(H172="",L172=""),"",IF(AND(H172=F172,L172=J172),"Yes","No"))</f>
        <v/>
      </c>
    </row>
    <row r="173" ht="60" customHeight="1" spans="1:14" x14ac:dyDescent="0.25">
      <c r="A173" s="7" t="s">
        <v>473</v>
      </c>
      <c r="B173" s="7" t="s">
        <v>461</v>
      </c>
      <c r="C173" s="8" t="s">
        <v>474</v>
      </c>
      <c r="D173" s="7" t="s">
        <v>24</v>
      </c>
      <c r="E173" s="7" t="s">
        <v>40</v>
      </c>
      <c r="F173" s="7" t="s">
        <v>26</v>
      </c>
      <c r="G173" s="8" t="s">
        <v>27</v>
      </c>
      <c r="H173" s="9"/>
      <c r="I173" s="10"/>
      <c r="J173" s="7" t="s">
        <v>26</v>
      </c>
      <c r="K173" s="8" t="s">
        <v>475</v>
      </c>
      <c r="L173" s="9"/>
      <c r="M173" s="10"/>
      <c r="N173" s="11" t="str">
        <f>IF(OR(H173="",L173=""),"",IF(AND(H173=F173,L173=J173),"Yes","No"))</f>
        <v/>
      </c>
    </row>
    <row r="174" ht="60" customHeight="1" spans="1:14" x14ac:dyDescent="0.25">
      <c r="A174" s="7" t="s">
        <v>476</v>
      </c>
      <c r="B174" s="7" t="s">
        <v>461</v>
      </c>
      <c r="C174" s="8" t="s">
        <v>477</v>
      </c>
      <c r="D174" s="7" t="s">
        <v>30</v>
      </c>
      <c r="E174" s="7" t="s">
        <v>50</v>
      </c>
      <c r="F174" s="7" t="s">
        <v>26</v>
      </c>
      <c r="G174" s="8" t="s">
        <v>27</v>
      </c>
      <c r="H174" s="9"/>
      <c r="I174" s="10"/>
      <c r="J174" s="7" t="s">
        <v>26</v>
      </c>
      <c r="K174" s="8" t="s">
        <v>478</v>
      </c>
      <c r="L174" s="9"/>
      <c r="M174" s="10"/>
      <c r="N174" s="11" t="str">
        <f>IF(OR(H174="",L174=""),"",IF(AND(H174=F174,L174=J174),"Yes","No"))</f>
        <v/>
      </c>
    </row>
    <row r="175" ht="30" customHeight="1" spans="1:14" x14ac:dyDescent="0.25">
      <c r="A175" s="7" t="s">
        <v>479</v>
      </c>
      <c r="B175" s="7" t="s">
        <v>461</v>
      </c>
      <c r="C175" s="8" t="s">
        <v>480</v>
      </c>
      <c r="D175" s="7" t="s">
        <v>104</v>
      </c>
      <c r="E175" s="7" t="s">
        <v>25</v>
      </c>
      <c r="F175" s="7" t="s">
        <v>26</v>
      </c>
      <c r="G175" s="8" t="s">
        <v>27</v>
      </c>
      <c r="H175" s="9"/>
      <c r="I175" s="10"/>
      <c r="J175" s="7" t="s">
        <v>26</v>
      </c>
      <c r="K175" s="8" t="s">
        <v>27</v>
      </c>
      <c r="L175" s="9"/>
      <c r="M175" s="10"/>
      <c r="N175" s="11" t="str">
        <f>IF(OR(H175="",L175=""),"",IF(AND(H175=F175,L175=J175),"Yes","No"))</f>
        <v/>
      </c>
    </row>
    <row r="176" ht="30" customHeight="1" spans="1:14" x14ac:dyDescent="0.25">
      <c r="A176" s="7" t="s">
        <v>481</v>
      </c>
      <c r="B176" s="7" t="s">
        <v>461</v>
      </c>
      <c r="C176" s="8" t="s">
        <v>482</v>
      </c>
      <c r="D176" s="7" t="s">
        <v>24</v>
      </c>
      <c r="E176" s="7" t="s">
        <v>50</v>
      </c>
      <c r="F176" s="7" t="s">
        <v>26</v>
      </c>
      <c r="G176" s="8" t="s">
        <v>27</v>
      </c>
      <c r="H176" s="9"/>
      <c r="I176" s="10"/>
      <c r="J176" s="7" t="s">
        <v>26</v>
      </c>
      <c r="K176" s="8" t="s">
        <v>27</v>
      </c>
      <c r="L176" s="9"/>
      <c r="M176" s="10"/>
      <c r="N176" s="11" t="str">
        <f>IF(OR(H176="",L176=""),"",IF(AND(H176=F176,L176=J176),"Yes","No"))</f>
        <v/>
      </c>
    </row>
    <row r="177" ht="30" customHeight="1" spans="1:14" x14ac:dyDescent="0.25">
      <c r="A177" s="7" t="s">
        <v>483</v>
      </c>
      <c r="B177" s="7" t="s">
        <v>484</v>
      </c>
      <c r="C177" s="8" t="s">
        <v>485</v>
      </c>
      <c r="D177" s="7" t="s">
        <v>30</v>
      </c>
      <c r="E177" s="7" t="s">
        <v>40</v>
      </c>
      <c r="F177" s="7" t="s">
        <v>26</v>
      </c>
      <c r="G177" s="8" t="s">
        <v>27</v>
      </c>
      <c r="H177" s="9"/>
      <c r="I177" s="10"/>
      <c r="J177" s="7" t="s">
        <v>26</v>
      </c>
      <c r="K177" s="8" t="s">
        <v>27</v>
      </c>
      <c r="L177" s="9"/>
      <c r="M177" s="10"/>
      <c r="N177" s="11" t="str">
        <f>IF(OR(H177="",L177=""),"",IF(AND(H177=F177,L177=J177),"Yes","No"))</f>
        <v/>
      </c>
    </row>
    <row r="178" ht="15" customHeight="1" spans="1:14" x14ac:dyDescent="0.25">
      <c r="A178" s="7" t="s">
        <v>486</v>
      </c>
      <c r="B178" s="7" t="s">
        <v>484</v>
      </c>
      <c r="C178" s="8" t="s">
        <v>487</v>
      </c>
      <c r="D178" s="7" t="s">
        <v>98</v>
      </c>
      <c r="E178" s="7" t="s">
        <v>40</v>
      </c>
      <c r="F178" s="7" t="s">
        <v>26</v>
      </c>
      <c r="G178" s="8" t="s">
        <v>27</v>
      </c>
      <c r="H178" s="9"/>
      <c r="I178" s="10"/>
      <c r="J178" s="7" t="s">
        <v>26</v>
      </c>
      <c r="K178" s="8" t="s">
        <v>27</v>
      </c>
      <c r="L178" s="9"/>
      <c r="M178" s="10"/>
      <c r="N178" s="11" t="str">
        <f>IF(OR(H178="",L178=""),"",IF(AND(H178=F178,L178=J178),"Yes","No"))</f>
        <v/>
      </c>
    </row>
    <row r="179" ht="90" customHeight="1" spans="1:14" x14ac:dyDescent="0.25">
      <c r="A179" s="7" t="s">
        <v>488</v>
      </c>
      <c r="B179" s="7" t="s">
        <v>484</v>
      </c>
      <c r="C179" s="8" t="s">
        <v>489</v>
      </c>
      <c r="D179" s="7" t="s">
        <v>24</v>
      </c>
      <c r="E179" s="7" t="s">
        <v>50</v>
      </c>
      <c r="F179" s="7" t="s">
        <v>26</v>
      </c>
      <c r="G179" s="8" t="s">
        <v>27</v>
      </c>
      <c r="H179" s="9"/>
      <c r="I179" s="10"/>
      <c r="J179" s="7" t="s">
        <v>138</v>
      </c>
      <c r="K179" s="8" t="s">
        <v>490</v>
      </c>
      <c r="L179" s="9"/>
      <c r="M179" s="10"/>
      <c r="N179" s="11" t="str">
        <f>IF(OR(H179="",L179=""),"",IF(AND(H179=F179,L179=J179),"Yes","No"))</f>
        <v/>
      </c>
    </row>
    <row r="180" ht="90" customHeight="1" spans="1:14" x14ac:dyDescent="0.25">
      <c r="A180" s="7" t="s">
        <v>491</v>
      </c>
      <c r="B180" s="7" t="s">
        <v>484</v>
      </c>
      <c r="C180" s="8" t="s">
        <v>492</v>
      </c>
      <c r="D180" s="7" t="s">
        <v>24</v>
      </c>
      <c r="E180" s="7" t="s">
        <v>50</v>
      </c>
      <c r="F180" s="7" t="s">
        <v>138</v>
      </c>
      <c r="G180" s="8" t="s">
        <v>493</v>
      </c>
      <c r="H180" s="9"/>
      <c r="I180" s="10"/>
      <c r="J180" s="7" t="s">
        <v>138</v>
      </c>
      <c r="K180" s="8" t="s">
        <v>158</v>
      </c>
      <c r="L180" s="9"/>
      <c r="M180" s="10"/>
      <c r="N180" s="11" t="str">
        <f>IF(OR(H180="",L180=""),"",IF(AND(H180=F180,L180=J180),"Yes","No"))</f>
        <v/>
      </c>
    </row>
    <row r="181" ht="60" customHeight="1" spans="1:14" x14ac:dyDescent="0.25">
      <c r="A181" s="7" t="s">
        <v>494</v>
      </c>
      <c r="B181" s="7" t="s">
        <v>484</v>
      </c>
      <c r="C181" s="8" t="s">
        <v>495</v>
      </c>
      <c r="D181" s="7" t="s">
        <v>127</v>
      </c>
      <c r="E181" s="7" t="s">
        <v>156</v>
      </c>
      <c r="F181" s="7" t="s">
        <v>26</v>
      </c>
      <c r="G181" s="8" t="s">
        <v>27</v>
      </c>
      <c r="H181" s="9"/>
      <c r="I181" s="10"/>
      <c r="J181" s="7" t="s">
        <v>138</v>
      </c>
      <c r="K181" s="8" t="s">
        <v>496</v>
      </c>
      <c r="L181" s="9"/>
      <c r="M181" s="10"/>
      <c r="N181" s="11" t="str">
        <f>IF(OR(H181="",L181=""),"",IF(AND(H181=F181,L181=J181),"Yes","No"))</f>
        <v/>
      </c>
    </row>
    <row r="182" ht="15" customHeight="1" spans="1:14" x14ac:dyDescent="0.25">
      <c r="A182" s="7" t="s">
        <v>497</v>
      </c>
      <c r="B182" s="7" t="s">
        <v>484</v>
      </c>
      <c r="C182" s="8" t="s">
        <v>498</v>
      </c>
      <c r="D182" s="7" t="s">
        <v>127</v>
      </c>
      <c r="E182" s="7" t="s">
        <v>156</v>
      </c>
      <c r="F182" s="7" t="s">
        <v>26</v>
      </c>
      <c r="G182" s="8" t="s">
        <v>27</v>
      </c>
      <c r="H182" s="9"/>
      <c r="I182" s="10"/>
      <c r="J182" s="7" t="s">
        <v>26</v>
      </c>
      <c r="K182" s="8" t="s">
        <v>27</v>
      </c>
      <c r="L182" s="9"/>
      <c r="M182" s="10"/>
      <c r="N182" s="11" t="str">
        <f>IF(OR(H182="",L182=""),"",IF(AND(H182=F182,L182=J182),"Yes","No"))</f>
        <v/>
      </c>
    </row>
    <row r="183" ht="90" customHeight="1" spans="1:14" x14ac:dyDescent="0.25">
      <c r="A183" s="7" t="s">
        <v>499</v>
      </c>
      <c r="B183" s="7" t="s">
        <v>484</v>
      </c>
      <c r="C183" s="8" t="s">
        <v>500</v>
      </c>
      <c r="D183" s="7" t="s">
        <v>39</v>
      </c>
      <c r="E183" s="7" t="s">
        <v>156</v>
      </c>
      <c r="F183" s="7" t="s">
        <v>138</v>
      </c>
      <c r="G183" s="8" t="s">
        <v>501</v>
      </c>
      <c r="H183" s="9"/>
      <c r="I183" s="10"/>
      <c r="J183" s="7" t="s">
        <v>138</v>
      </c>
      <c r="K183" s="8" t="s">
        <v>158</v>
      </c>
      <c r="L183" s="9"/>
      <c r="M183" s="10"/>
      <c r="N183" s="11" t="str">
        <f>IF(OR(H183="",L183=""),"",IF(AND(H183=F183,L183=J183),"Yes","No"))</f>
        <v/>
      </c>
    </row>
    <row r="184" ht="15" customHeight="1" spans="1:14" x14ac:dyDescent="0.25">
      <c r="A184" s="7" t="s">
        <v>502</v>
      </c>
      <c r="B184" s="7" t="s">
        <v>503</v>
      </c>
      <c r="C184" s="8" t="s">
        <v>504</v>
      </c>
      <c r="D184" s="7" t="s">
        <v>24</v>
      </c>
      <c r="E184" s="7" t="s">
        <v>40</v>
      </c>
      <c r="F184" s="7" t="s">
        <v>26</v>
      </c>
      <c r="G184" s="8" t="s">
        <v>27</v>
      </c>
      <c r="H184" s="9"/>
      <c r="I184" s="10"/>
      <c r="J184" s="7" t="s">
        <v>26</v>
      </c>
      <c r="K184" s="8" t="s">
        <v>27</v>
      </c>
      <c r="L184" s="9"/>
      <c r="M184" s="10"/>
      <c r="N184" s="11" t="str">
        <f>IF(OR(H184="",L184=""),"",IF(AND(H184=F184,L184=J184),"Yes","No"))</f>
        <v/>
      </c>
    </row>
    <row r="185" ht="45" customHeight="1" spans="1:14" x14ac:dyDescent="0.25">
      <c r="A185" s="7" t="s">
        <v>505</v>
      </c>
      <c r="B185" s="7" t="s">
        <v>503</v>
      </c>
      <c r="C185" s="8" t="s">
        <v>506</v>
      </c>
      <c r="D185" s="7" t="s">
        <v>24</v>
      </c>
      <c r="E185" s="7" t="s">
        <v>50</v>
      </c>
      <c r="F185" s="7" t="s">
        <v>26</v>
      </c>
      <c r="G185" s="8" t="s">
        <v>27</v>
      </c>
      <c r="H185" s="9"/>
      <c r="I185" s="10"/>
      <c r="J185" s="7" t="s">
        <v>26</v>
      </c>
      <c r="K185" s="8" t="s">
        <v>507</v>
      </c>
      <c r="L185" s="9"/>
      <c r="M185" s="10"/>
      <c r="N185" s="11" t="str">
        <f>IF(OR(H185="",L185=""),"",IF(AND(H185=F185,L185=J185),"Yes","No"))</f>
        <v/>
      </c>
    </row>
    <row r="186" ht="15" customHeight="1" spans="1:14" x14ac:dyDescent="0.25">
      <c r="A186" s="7" t="s">
        <v>508</v>
      </c>
      <c r="B186" s="7" t="s">
        <v>503</v>
      </c>
      <c r="C186" s="8" t="s">
        <v>509</v>
      </c>
      <c r="D186" s="7" t="s">
        <v>39</v>
      </c>
      <c r="E186" s="7" t="s">
        <v>40</v>
      </c>
      <c r="F186" s="7" t="s">
        <v>26</v>
      </c>
      <c r="G186" s="8" t="s">
        <v>27</v>
      </c>
      <c r="H186" s="9"/>
      <c r="I186" s="10"/>
      <c r="J186" s="7" t="s">
        <v>26</v>
      </c>
      <c r="K186" s="8" t="s">
        <v>27</v>
      </c>
      <c r="L186" s="9"/>
      <c r="M186" s="10"/>
      <c r="N186" s="11" t="str">
        <f>IF(OR(H186="",L186=""),"",IF(AND(H186=F186,L186=J186),"Yes","No"))</f>
        <v/>
      </c>
    </row>
    <row r="187" ht="45" customHeight="1" spans="1:14" x14ac:dyDescent="0.25">
      <c r="A187" s="7" t="s">
        <v>510</v>
      </c>
      <c r="B187" s="7" t="s">
        <v>503</v>
      </c>
      <c r="C187" s="8" t="s">
        <v>511</v>
      </c>
      <c r="D187" s="7" t="s">
        <v>30</v>
      </c>
      <c r="E187" s="7" t="s">
        <v>50</v>
      </c>
      <c r="F187" s="7" t="s">
        <v>26</v>
      </c>
      <c r="G187" s="8" t="s">
        <v>27</v>
      </c>
      <c r="H187" s="9"/>
      <c r="I187" s="10"/>
      <c r="J187" s="7" t="s">
        <v>26</v>
      </c>
      <c r="K187" s="8" t="s">
        <v>512</v>
      </c>
      <c r="L187" s="9"/>
      <c r="M187" s="10"/>
      <c r="N187" s="11" t="str">
        <f>IF(OR(H187="",L187=""),"",IF(AND(H187=F187,L187=J187),"Yes","No"))</f>
        <v/>
      </c>
    </row>
    <row r="188" ht="60" customHeight="1" spans="1:14" x14ac:dyDescent="0.25">
      <c r="A188" s="7" t="s">
        <v>513</v>
      </c>
      <c r="B188" s="7" t="s">
        <v>503</v>
      </c>
      <c r="C188" s="8" t="s">
        <v>514</v>
      </c>
      <c r="D188" s="7" t="s">
        <v>24</v>
      </c>
      <c r="E188" s="7" t="s">
        <v>156</v>
      </c>
      <c r="F188" s="7" t="s">
        <v>138</v>
      </c>
      <c r="G188" s="8" t="s">
        <v>515</v>
      </c>
      <c r="H188" s="9"/>
      <c r="I188" s="10"/>
      <c r="J188" s="7" t="s">
        <v>138</v>
      </c>
      <c r="K188" s="8" t="s">
        <v>158</v>
      </c>
      <c r="L188" s="9"/>
      <c r="M188" s="10"/>
      <c r="N188" s="11" t="str">
        <f>IF(OR(H188="",L188=""),"",IF(AND(H188=F188,L188=J188),"Yes","No"))</f>
        <v/>
      </c>
    </row>
    <row r="189" ht="75" customHeight="1" spans="1:14" x14ac:dyDescent="0.25">
      <c r="A189" s="7" t="s">
        <v>516</v>
      </c>
      <c r="B189" s="7" t="s">
        <v>517</v>
      </c>
      <c r="C189" s="8" t="s">
        <v>518</v>
      </c>
      <c r="D189" s="7" t="s">
        <v>24</v>
      </c>
      <c r="E189" s="7" t="s">
        <v>156</v>
      </c>
      <c r="F189" s="7" t="s">
        <v>26</v>
      </c>
      <c r="G189" s="8" t="s">
        <v>27</v>
      </c>
      <c r="H189" s="9"/>
      <c r="I189" s="10"/>
      <c r="J189" s="7" t="s">
        <v>138</v>
      </c>
      <c r="K189" s="8" t="s">
        <v>519</v>
      </c>
      <c r="L189" s="9"/>
      <c r="M189" s="10"/>
      <c r="N189" s="11" t="str">
        <f>IF(OR(H189="",L189=""),"",IF(AND(H189=F189,L189=J189),"Yes","No"))</f>
        <v/>
      </c>
    </row>
    <row r="190" ht="15" customHeight="1" spans="1:14" x14ac:dyDescent="0.25">
      <c r="A190" s="7" t="s">
        <v>520</v>
      </c>
      <c r="B190" s="7" t="s">
        <v>517</v>
      </c>
      <c r="C190" s="8" t="s">
        <v>521</v>
      </c>
      <c r="D190" s="7" t="s">
        <v>39</v>
      </c>
      <c r="E190" s="7" t="s">
        <v>156</v>
      </c>
      <c r="F190" s="7" t="s">
        <v>26</v>
      </c>
      <c r="G190" s="8" t="s">
        <v>27</v>
      </c>
      <c r="H190" s="9"/>
      <c r="I190" s="10"/>
      <c r="J190" s="7" t="s">
        <v>138</v>
      </c>
      <c r="K190" s="8" t="s">
        <v>522</v>
      </c>
      <c r="L190" s="9"/>
      <c r="M190" s="10"/>
      <c r="N190" s="11" t="str">
        <f>IF(OR(H190="",L190=""),"",IF(AND(H190=F190,L190=J190),"Yes","No"))</f>
        <v/>
      </c>
    </row>
    <row r="191" ht="30" customHeight="1" spans="1:14" x14ac:dyDescent="0.25">
      <c r="A191" s="7" t="s">
        <v>523</v>
      </c>
      <c r="B191" s="7" t="s">
        <v>524</v>
      </c>
      <c r="C191" s="8" t="s">
        <v>525</v>
      </c>
      <c r="D191" s="7" t="s">
        <v>24</v>
      </c>
      <c r="E191" s="7" t="s">
        <v>50</v>
      </c>
      <c r="F191" s="7" t="s">
        <v>26</v>
      </c>
      <c r="G191" s="8" t="s">
        <v>27</v>
      </c>
      <c r="H191" s="9"/>
      <c r="I191" s="10"/>
      <c r="J191" s="7" t="s">
        <v>26</v>
      </c>
      <c r="K191" s="8" t="s">
        <v>27</v>
      </c>
      <c r="L191" s="9"/>
      <c r="M191" s="10"/>
      <c r="N191" s="11" t="str">
        <f>IF(OR(H191="",L191=""),"",IF(AND(H191=F191,L191=J191),"Yes","No"))</f>
        <v/>
      </c>
    </row>
    <row r="192" ht="60" customHeight="1" spans="1:14" x14ac:dyDescent="0.25">
      <c r="A192" s="7" t="s">
        <v>526</v>
      </c>
      <c r="B192" s="7" t="s">
        <v>524</v>
      </c>
      <c r="C192" s="8" t="s">
        <v>527</v>
      </c>
      <c r="D192" s="7" t="s">
        <v>24</v>
      </c>
      <c r="E192" s="7" t="s">
        <v>50</v>
      </c>
      <c r="F192" s="7" t="s">
        <v>26</v>
      </c>
      <c r="G192" s="8" t="s">
        <v>27</v>
      </c>
      <c r="H192" s="9"/>
      <c r="I192" s="10"/>
      <c r="J192" s="7" t="s">
        <v>138</v>
      </c>
      <c r="K192" s="8" t="s">
        <v>528</v>
      </c>
      <c r="L192" s="9"/>
      <c r="M192" s="10"/>
      <c r="N192" s="11" t="str">
        <f>IF(OR(H192="",L192=""),"",IF(AND(H192=F192,L192=J192),"Yes","No"))</f>
        <v/>
      </c>
    </row>
    <row r="193" ht="45" customHeight="1" spans="1:14" x14ac:dyDescent="0.25">
      <c r="A193" s="7" t="s">
        <v>529</v>
      </c>
      <c r="B193" s="7" t="s">
        <v>530</v>
      </c>
      <c r="C193" s="8" t="s">
        <v>531</v>
      </c>
      <c r="D193" s="7" t="s">
        <v>127</v>
      </c>
      <c r="E193" s="7" t="s">
        <v>156</v>
      </c>
      <c r="F193" s="7" t="s">
        <v>26</v>
      </c>
      <c r="G193" s="8" t="s">
        <v>27</v>
      </c>
      <c r="H193" s="9"/>
      <c r="I193" s="10"/>
      <c r="J193" s="7" t="s">
        <v>26</v>
      </c>
      <c r="K193" s="8" t="s">
        <v>532</v>
      </c>
      <c r="L193" s="9"/>
      <c r="M193" s="10"/>
      <c r="N193" s="11" t="str">
        <f>IF(OR(H193="",L193=""),"",IF(AND(H193=F193,L193=J193),"Yes","No"))</f>
        <v/>
      </c>
    </row>
    <row r="194" ht="30" customHeight="1" spans="1:14" x14ac:dyDescent="0.25">
      <c r="A194" s="7" t="s">
        <v>533</v>
      </c>
      <c r="B194" s="7" t="s">
        <v>534</v>
      </c>
      <c r="C194" s="8" t="s">
        <v>535</v>
      </c>
      <c r="D194" s="7" t="s">
        <v>24</v>
      </c>
      <c r="E194" s="7" t="s">
        <v>50</v>
      </c>
      <c r="F194" s="7" t="s">
        <v>26</v>
      </c>
      <c r="G194" s="8" t="s">
        <v>27</v>
      </c>
      <c r="H194" s="9"/>
      <c r="I194" s="10"/>
      <c r="J194" s="7" t="s">
        <v>26</v>
      </c>
      <c r="K194" s="8" t="s">
        <v>27</v>
      </c>
      <c r="L194" s="9"/>
      <c r="M194" s="10"/>
      <c r="N194" s="11" t="str">
        <f>IF(OR(H194="",L194=""),"",IF(AND(H194=F194,L194=J194),"Yes","No"))</f>
        <v/>
      </c>
    </row>
    <row r="195" ht="45" customHeight="1" spans="1:14" x14ac:dyDescent="0.25">
      <c r="A195" s="7" t="s">
        <v>536</v>
      </c>
      <c r="B195" s="7" t="s">
        <v>534</v>
      </c>
      <c r="C195" s="8" t="s">
        <v>537</v>
      </c>
      <c r="D195" s="7" t="s">
        <v>127</v>
      </c>
      <c r="E195" s="7" t="s">
        <v>156</v>
      </c>
      <c r="F195" s="7" t="s">
        <v>26</v>
      </c>
      <c r="G195" s="8" t="s">
        <v>27</v>
      </c>
      <c r="H195" s="9"/>
      <c r="I195" s="10"/>
      <c r="J195" s="7" t="s">
        <v>26</v>
      </c>
      <c r="K195" s="8" t="s">
        <v>538</v>
      </c>
      <c r="L195" s="9"/>
      <c r="M195" s="10"/>
      <c r="N195" s="11" t="str">
        <f>IF(OR(H195="",L195=""),"",IF(AND(H195=F195,L195=J195),"Yes","No"))</f>
        <v/>
      </c>
    </row>
    <row r="196" ht="90" customHeight="1" spans="1:14" x14ac:dyDescent="0.25">
      <c r="A196" s="7" t="s">
        <v>539</v>
      </c>
      <c r="B196" s="7" t="s">
        <v>534</v>
      </c>
      <c r="C196" s="8" t="s">
        <v>540</v>
      </c>
      <c r="D196" s="7" t="s">
        <v>24</v>
      </c>
      <c r="E196" s="7" t="s">
        <v>156</v>
      </c>
      <c r="F196" s="7" t="s">
        <v>138</v>
      </c>
      <c r="G196" s="8" t="s">
        <v>541</v>
      </c>
      <c r="H196" s="9"/>
      <c r="I196" s="10"/>
      <c r="J196" s="7" t="s">
        <v>138</v>
      </c>
      <c r="K196" s="8" t="s">
        <v>158</v>
      </c>
      <c r="L196" s="9"/>
      <c r="M196" s="10"/>
      <c r="N196" s="11" t="str">
        <f>IF(OR(H196="",L196=""),"",IF(AND(H196=F196,L196=J196),"Yes","No"))</f>
        <v/>
      </c>
    </row>
    <row r="197" ht="45" customHeight="1" spans="1:14" x14ac:dyDescent="0.25">
      <c r="A197" s="7" t="s">
        <v>542</v>
      </c>
      <c r="B197" s="7" t="s">
        <v>543</v>
      </c>
      <c r="C197" s="8" t="s">
        <v>544</v>
      </c>
      <c r="D197" s="7" t="s">
        <v>127</v>
      </c>
      <c r="E197" s="7" t="s">
        <v>156</v>
      </c>
      <c r="F197" s="7" t="s">
        <v>26</v>
      </c>
      <c r="G197" s="8" t="s">
        <v>27</v>
      </c>
      <c r="H197" s="9"/>
      <c r="I197" s="10"/>
      <c r="J197" s="7" t="s">
        <v>26</v>
      </c>
      <c r="K197" s="8" t="s">
        <v>545</v>
      </c>
      <c r="L197" s="9"/>
      <c r="M197" s="10"/>
      <c r="N197" s="11" t="str">
        <f>IF(OR(H197="",L197=""),"",IF(AND(H197=F197,L197=J197),"Yes","No"))</f>
        <v/>
      </c>
    </row>
    <row r="198" ht="30" customHeight="1" spans="1:14" x14ac:dyDescent="0.25">
      <c r="A198" s="7" t="s">
        <v>546</v>
      </c>
      <c r="B198" s="7" t="s">
        <v>543</v>
      </c>
      <c r="C198" s="8" t="s">
        <v>547</v>
      </c>
      <c r="D198" s="7" t="s">
        <v>39</v>
      </c>
      <c r="E198" s="7" t="s">
        <v>156</v>
      </c>
      <c r="F198" s="7" t="s">
        <v>26</v>
      </c>
      <c r="G198" s="8" t="s">
        <v>27</v>
      </c>
      <c r="H198" s="9"/>
      <c r="I198" s="10"/>
      <c r="J198" s="7" t="s">
        <v>138</v>
      </c>
      <c r="K198" s="8" t="s">
        <v>548</v>
      </c>
      <c r="L198" s="9"/>
      <c r="M198" s="10"/>
      <c r="N198" s="11" t="str">
        <f>IF(OR(H198="",L198=""),"",IF(AND(H198=F198,L198=J198),"Yes","No"))</f>
        <v/>
      </c>
    </row>
    <row r="199" ht="45" customHeight="1" spans="1:14" x14ac:dyDescent="0.25">
      <c r="A199" s="7" t="s">
        <v>549</v>
      </c>
      <c r="B199" s="7" t="s">
        <v>550</v>
      </c>
      <c r="C199" s="8" t="s">
        <v>551</v>
      </c>
      <c r="D199" s="7" t="s">
        <v>24</v>
      </c>
      <c r="E199" s="7" t="s">
        <v>156</v>
      </c>
      <c r="F199" s="7" t="s">
        <v>26</v>
      </c>
      <c r="G199" s="8" t="s">
        <v>27</v>
      </c>
      <c r="H199" s="9"/>
      <c r="I199" s="10"/>
      <c r="J199" s="7" t="s">
        <v>26</v>
      </c>
      <c r="K199" s="8" t="s">
        <v>552</v>
      </c>
      <c r="L199" s="9"/>
      <c r="M199" s="10"/>
      <c r="N199" s="11" t="str">
        <f>IF(OR(H199="",L199=""),"",IF(AND(H199=F199,L199=J199),"Yes","No"))</f>
        <v/>
      </c>
    </row>
    <row r="200" ht="45" customHeight="1" spans="1:14" x14ac:dyDescent="0.25">
      <c r="A200" s="7" t="s">
        <v>553</v>
      </c>
      <c r="B200" s="7" t="s">
        <v>550</v>
      </c>
      <c r="C200" s="8" t="s">
        <v>554</v>
      </c>
      <c r="D200" s="7" t="s">
        <v>30</v>
      </c>
      <c r="E200" s="7" t="s">
        <v>156</v>
      </c>
      <c r="F200" s="7" t="s">
        <v>26</v>
      </c>
      <c r="G200" s="8" t="s">
        <v>27</v>
      </c>
      <c r="H200" s="9"/>
      <c r="I200" s="10"/>
      <c r="J200" s="7" t="s">
        <v>138</v>
      </c>
      <c r="K200" s="8" t="s">
        <v>555</v>
      </c>
      <c r="L200" s="9"/>
      <c r="M200" s="10"/>
      <c r="N200" s="11" t="str">
        <f>IF(OR(H200="",L200=""),"",IF(AND(H200=F200,L200=J200),"Yes","No"))</f>
        <v/>
      </c>
    </row>
    <row r="201" ht="45" customHeight="1" spans="1:14" x14ac:dyDescent="0.25">
      <c r="A201" s="7" t="s">
        <v>556</v>
      </c>
      <c r="B201" s="7" t="s">
        <v>557</v>
      </c>
      <c r="C201" s="8" t="s">
        <v>558</v>
      </c>
      <c r="D201" s="7" t="s">
        <v>127</v>
      </c>
      <c r="E201" s="7" t="s">
        <v>156</v>
      </c>
      <c r="F201" s="7" t="s">
        <v>26</v>
      </c>
      <c r="G201" s="8" t="s">
        <v>27</v>
      </c>
      <c r="H201" s="9"/>
      <c r="I201" s="10"/>
      <c r="J201" s="7" t="s">
        <v>26</v>
      </c>
      <c r="K201" s="8" t="s">
        <v>559</v>
      </c>
      <c r="L201" s="9"/>
      <c r="M201" s="10"/>
      <c r="N201" s="11" t="str">
        <f>IF(OR(H201="",L201=""),"",IF(AND(H201=F201,L201=J201),"Yes","No"))</f>
        <v/>
      </c>
    </row>
    <row r="202" ht="90" customHeight="1" spans="1:14" x14ac:dyDescent="0.25">
      <c r="A202" s="7" t="s">
        <v>560</v>
      </c>
      <c r="B202" s="7" t="s">
        <v>557</v>
      </c>
      <c r="C202" s="8" t="s">
        <v>561</v>
      </c>
      <c r="D202" s="7" t="s">
        <v>24</v>
      </c>
      <c r="E202" s="7" t="s">
        <v>156</v>
      </c>
      <c r="F202" s="7" t="s">
        <v>138</v>
      </c>
      <c r="G202" s="8" t="s">
        <v>562</v>
      </c>
      <c r="H202" s="9"/>
      <c r="I202" s="10"/>
      <c r="J202" s="7" t="s">
        <v>138</v>
      </c>
      <c r="K202" s="8" t="s">
        <v>158</v>
      </c>
      <c r="L202" s="9"/>
      <c r="M202" s="10"/>
      <c r="N202" s="11" t="str">
        <f>IF(OR(H202="",L202=""),"",IF(AND(H202=F202,L202=J202),"Yes","No"))</f>
        <v/>
      </c>
    </row>
    <row r="203" ht="90" customHeight="1" spans="1:14" x14ac:dyDescent="0.25">
      <c r="A203" s="7" t="s">
        <v>563</v>
      </c>
      <c r="B203" s="7" t="s">
        <v>75</v>
      </c>
      <c r="C203" s="8" t="s">
        <v>564</v>
      </c>
      <c r="D203" s="7" t="s">
        <v>98</v>
      </c>
      <c r="E203" s="7" t="s">
        <v>50</v>
      </c>
      <c r="F203" s="7" t="s">
        <v>26</v>
      </c>
      <c r="G203" s="8" t="s">
        <v>27</v>
      </c>
      <c r="H203" s="9"/>
      <c r="I203" s="10"/>
      <c r="J203" s="7" t="s">
        <v>138</v>
      </c>
      <c r="K203" s="8" t="s">
        <v>565</v>
      </c>
      <c r="L203" s="9"/>
      <c r="M203" s="10"/>
      <c r="N203" s="11" t="str">
        <f>IF(OR(H203="",L203=""),"",IF(AND(H203=F203,L203=J203),"Yes","No"))</f>
        <v/>
      </c>
    </row>
    <row r="204" ht="90" customHeight="1" spans="1:14" x14ac:dyDescent="0.25">
      <c r="A204" s="7" t="s">
        <v>566</v>
      </c>
      <c r="B204" s="7" t="s">
        <v>313</v>
      </c>
      <c r="C204" s="8" t="s">
        <v>567</v>
      </c>
      <c r="D204" s="7" t="s">
        <v>24</v>
      </c>
      <c r="E204" s="7" t="s">
        <v>156</v>
      </c>
      <c r="F204" s="7" t="s">
        <v>26</v>
      </c>
      <c r="G204" s="8" t="s">
        <v>27</v>
      </c>
      <c r="H204" s="9"/>
      <c r="I204" s="10"/>
      <c r="J204" s="7" t="s">
        <v>138</v>
      </c>
      <c r="K204" s="8" t="s">
        <v>568</v>
      </c>
      <c r="L204" s="9"/>
      <c r="M204" s="10"/>
      <c r="N204" s="11" t="str">
        <f>IF(OR(H204="",L204=""),"",IF(AND(H204=F204,L204=J204),"Yes","No"))</f>
        <v/>
      </c>
    </row>
    <row r="205" ht="90" customHeight="1" spans="1:14" x14ac:dyDescent="0.25">
      <c r="A205" s="7" t="s">
        <v>569</v>
      </c>
      <c r="B205" s="7" t="s">
        <v>313</v>
      </c>
      <c r="C205" s="8" t="s">
        <v>570</v>
      </c>
      <c r="D205" s="7" t="s">
        <v>30</v>
      </c>
      <c r="E205" s="7" t="s">
        <v>156</v>
      </c>
      <c r="F205" s="7" t="s">
        <v>26</v>
      </c>
      <c r="G205" s="8" t="s">
        <v>27</v>
      </c>
      <c r="H205" s="9"/>
      <c r="I205" s="10"/>
      <c r="J205" s="7" t="s">
        <v>138</v>
      </c>
      <c r="K205" s="8" t="s">
        <v>571</v>
      </c>
      <c r="L205" s="9"/>
      <c r="M205" s="10"/>
      <c r="N205" s="11" t="str">
        <f>IF(OR(H205="",L205=""),"",IF(AND(H205=F205,L205=J205),"Yes","No"))</f>
        <v/>
      </c>
    </row>
    <row r="206" ht="75" customHeight="1" spans="1:14" x14ac:dyDescent="0.25">
      <c r="A206" s="7" t="s">
        <v>572</v>
      </c>
      <c r="B206" s="7" t="s">
        <v>313</v>
      </c>
      <c r="C206" s="8" t="s">
        <v>573</v>
      </c>
      <c r="D206" s="7" t="s">
        <v>24</v>
      </c>
      <c r="E206" s="7" t="s">
        <v>156</v>
      </c>
      <c r="F206" s="7" t="s">
        <v>26</v>
      </c>
      <c r="G206" s="8" t="s">
        <v>27</v>
      </c>
      <c r="H206" s="9"/>
      <c r="I206" s="10"/>
      <c r="J206" s="7" t="s">
        <v>138</v>
      </c>
      <c r="K206" s="8" t="s">
        <v>574</v>
      </c>
      <c r="L206" s="9"/>
      <c r="M206" s="10"/>
      <c r="N206" s="11" t="str">
        <f>IF(OR(H206="",L206=""),"",IF(AND(H206=F206,L206=J206),"Yes","No"))</f>
        <v/>
      </c>
    </row>
    <row r="207" ht="105" customHeight="1" spans="1:14" x14ac:dyDescent="0.25">
      <c r="A207" s="7" t="s">
        <v>575</v>
      </c>
      <c r="B207" s="7" t="s">
        <v>517</v>
      </c>
      <c r="C207" s="8" t="s">
        <v>576</v>
      </c>
      <c r="D207" s="7" t="s">
        <v>24</v>
      </c>
      <c r="E207" s="7" t="s">
        <v>156</v>
      </c>
      <c r="F207" s="7" t="s">
        <v>26</v>
      </c>
      <c r="G207" s="8" t="s">
        <v>27</v>
      </c>
      <c r="H207" s="9"/>
      <c r="I207" s="10"/>
      <c r="J207" s="7" t="s">
        <v>138</v>
      </c>
      <c r="K207" s="8" t="s">
        <v>577</v>
      </c>
      <c r="L207" s="9"/>
      <c r="M207" s="10"/>
      <c r="N207" s="11" t="str">
        <f>IF(OR(H207="",L207=""),"",IF(AND(H207=F207,L207=J207),"Yes","No"))</f>
        <v/>
      </c>
    </row>
  </sheetData>
  <autoFilter ref="A4:N207"/>
  <mergeCells count="7">
    <mergeCell ref="A1:N1"/>
    <mergeCell ref="A2:N2"/>
    <mergeCell ref="A3:E3"/>
    <mergeCell ref="F3:G3"/>
    <mergeCell ref="H3:I3"/>
    <mergeCell ref="J3:K3"/>
    <mergeCell ref="L3:M3"/>
  </mergeCells>
  <conditionalFormatting sqref="L5:L207">
    <cfRule type="expression" dxfId="0" priority="1">
      <formula>AND($H5="No",$L5="Yes")</formula>
    </cfRule>
    <cfRule type="expression" dxfId="1" priority="2">
      <formula>AND($L5&lt;&gt;"",$L5&lt;&gt;$J5)</formula>
    </cfRule>
  </conditionalFormatting>
  <conditionalFormatting sqref="H5:H207">
    <cfRule type="expression" dxfId="2" priority="3">
      <formula>AND($H5&lt;&gt;"",$H5&lt;&gt;$F5)</formula>
    </cfRule>
  </conditionalFormatting>
  <conditionalFormatting sqref="I5:I207">
    <cfRule type="expression" dxfId="3" priority="4">
      <formula>AND($H5="No",$I5="")</formula>
    </cfRule>
  </conditionalFormatting>
  <conditionalFormatting sqref="M5:M207">
    <cfRule type="expression" dxfId="4" priority="5">
      <formula>AND($L5="No",$M5="")</formula>
    </cfRule>
  </conditionalFormatting>
  <conditionalFormatting sqref="N5:N207">
    <cfRule type="expression" dxfId="5" priority="6">
      <formula>$N5="No"</formula>
    </cfRule>
    <cfRule type="expression" dxfId="6" priority="7">
      <formula>$N5="Yes"</formula>
    </cfRule>
  </conditionalFormatting>
  <dataValidations count="2">
    <dataValidation type="list" allowBlank="1" showErrorMessage="1" errorStyle="stop" errorTitle="Yes or No" error="Choose Yes or No from the list." sqref="H5:H207">
      <formula1>"Yes,No"</formula1>
    </dataValidation>
    <dataValidation type="list" allowBlank="1" showErrorMessage="1" errorStyle="stop" errorTitle="Yes or No" error="Choose Yes or No from the list." sqref="L5:L207">
      <formula1>"Yes,No"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FormatPr defaultRowHeight="15" outlineLevelRow="0" outlineLevelCol="0" x14ac:dyDescent="55"/>
  <cols>
    <col min="1" max="1" width="20" customWidth="1"/>
    <col min="2" max="2" width="24" customWidth="1"/>
    <col min="3" max="3" width="42" customWidth="1"/>
    <col min="4" max="4" width="46" customWidth="1"/>
    <col min="5" max="5" width="70" customWidth="1"/>
  </cols>
  <sheetData>
    <row r="1" spans="1:5" x14ac:dyDescent="0.25">
      <c r="A1" s="12" t="s">
        <v>578</v>
      </c>
      <c r="B1" s="12"/>
      <c r="C1" s="12"/>
      <c r="D1" s="12"/>
      <c r="E1" s="12"/>
    </row>
    <row r="2" ht="45" customHeight="1" spans="1:5" x14ac:dyDescent="0.25">
      <c r="A2" s="2" t="s">
        <v>579</v>
      </c>
      <c r="B2" s="2"/>
      <c r="C2" s="2"/>
      <c r="D2" s="2"/>
      <c r="E2" s="2"/>
    </row>
    <row r="4" spans="1:5" x14ac:dyDescent="0.25">
      <c r="A4" s="13" t="s">
        <v>580</v>
      </c>
      <c r="B4" s="13"/>
      <c r="C4" s="13"/>
      <c r="D4" s="13"/>
      <c r="E4" s="13"/>
    </row>
    <row r="5" ht="45" customHeight="1" spans="1:5" x14ac:dyDescent="0.25">
      <c r="A5" s="2" t="s">
        <v>581</v>
      </c>
      <c r="B5" s="2"/>
      <c r="C5" s="2"/>
      <c r="D5" s="2"/>
      <c r="E5" s="2"/>
    </row>
    <row r="6" spans="1:5" x14ac:dyDescent="0.25">
      <c r="A6" s="6" t="s">
        <v>8</v>
      </c>
      <c r="B6" s="6" t="s">
        <v>15</v>
      </c>
      <c r="C6" s="6" t="s">
        <v>16</v>
      </c>
      <c r="D6" s="6" t="s">
        <v>18</v>
      </c>
      <c r="E6" s="6" t="s">
        <v>19</v>
      </c>
    </row>
    <row r="7" ht="30" customHeight="1" spans="1:5" x14ac:dyDescent="0.25">
      <c r="A7" s="8" t="s">
        <v>582</v>
      </c>
      <c r="B7" s="8" t="s">
        <v>138</v>
      </c>
      <c r="C7" s="8" t="s">
        <v>583</v>
      </c>
      <c r="D7" s="8" t="s">
        <v>138</v>
      </c>
      <c r="E7" s="8" t="s">
        <v>584</v>
      </c>
    </row>
    <row r="9" spans="1:5" x14ac:dyDescent="0.25">
      <c r="A9" s="13" t="s">
        <v>585</v>
      </c>
      <c r="B9" s="13"/>
      <c r="C9" s="13"/>
      <c r="D9" s="13"/>
      <c r="E9" s="13"/>
    </row>
    <row r="10" ht="30" customHeight="1" spans="1:5" x14ac:dyDescent="0.25">
      <c r="A10" s="2" t="s">
        <v>586</v>
      </c>
      <c r="B10" s="2"/>
      <c r="C10" s="2"/>
      <c r="D10" s="2"/>
      <c r="E10" s="2"/>
    </row>
    <row r="11" spans="1:5" x14ac:dyDescent="0.25">
      <c r="A11" s="6" t="s">
        <v>587</v>
      </c>
      <c r="B11" s="6" t="s">
        <v>588</v>
      </c>
      <c r="C11" s="6" t="s">
        <v>589</v>
      </c>
      <c r="D11" s="6" t="s">
        <v>590</v>
      </c>
      <c r="E11" s="6" t="s">
        <v>591</v>
      </c>
    </row>
    <row r="12" ht="45" customHeight="1" spans="1:5" x14ac:dyDescent="0.25">
      <c r="A12" s="8" t="s">
        <v>592</v>
      </c>
      <c r="B12" s="8" t="s">
        <v>593</v>
      </c>
      <c r="C12" s="8" t="s">
        <v>594</v>
      </c>
      <c r="D12" s="8">
        <v>3</v>
      </c>
      <c r="E12" s="8" t="s">
        <v>595</v>
      </c>
    </row>
    <row r="13" ht="60" customHeight="1" spans="1:5" x14ac:dyDescent="0.25">
      <c r="A13" s="8" t="s">
        <v>596</v>
      </c>
      <c r="B13" s="8" t="s">
        <v>597</v>
      </c>
      <c r="C13" s="8" t="s">
        <v>598</v>
      </c>
      <c r="D13" s="8">
        <v>0</v>
      </c>
      <c r="E13" s="8" t="s">
        <v>599</v>
      </c>
    </row>
    <row r="14" ht="45" customHeight="1" spans="1:5" x14ac:dyDescent="0.25">
      <c r="A14" s="8" t="s">
        <v>600</v>
      </c>
      <c r="B14" s="8" t="s">
        <v>601</v>
      </c>
      <c r="C14" s="8" t="s">
        <v>602</v>
      </c>
      <c r="D14" s="8">
        <v>12</v>
      </c>
      <c r="E14" s="8" t="s">
        <v>603</v>
      </c>
    </row>
    <row r="15" ht="45" customHeight="1" spans="1:5" x14ac:dyDescent="0.25">
      <c r="A15" s="8" t="s">
        <v>604</v>
      </c>
      <c r="B15" s="8" t="s">
        <v>605</v>
      </c>
      <c r="C15" s="8" t="s">
        <v>606</v>
      </c>
      <c r="D15" s="8">
        <v>1</v>
      </c>
      <c r="E15" s="8" t="s">
        <v>607</v>
      </c>
    </row>
    <row r="16" ht="45" customHeight="1" spans="1:5" x14ac:dyDescent="0.25">
      <c r="A16" s="8" t="s">
        <v>608</v>
      </c>
      <c r="B16" s="8" t="s">
        <v>609</v>
      </c>
      <c r="C16" s="8" t="s">
        <v>610</v>
      </c>
      <c r="D16" s="8">
        <v>1</v>
      </c>
      <c r="E16" s="8" t="s">
        <v>611</v>
      </c>
    </row>
    <row r="18" spans="1:5" x14ac:dyDescent="0.25">
      <c r="A18" s="13" t="s">
        <v>612</v>
      </c>
      <c r="B18" s="13"/>
      <c r="C18" s="13"/>
      <c r="D18" s="13"/>
      <c r="E18" s="13"/>
    </row>
    <row r="19" ht="30" customHeight="1" spans="1:5" x14ac:dyDescent="0.25">
      <c r="A19" s="2" t="s">
        <v>613</v>
      </c>
      <c r="B19" s="2"/>
      <c r="C19" s="2"/>
      <c r="D19" s="2"/>
      <c r="E19" s="2"/>
    </row>
    <row r="20" spans="1:5" x14ac:dyDescent="0.25">
      <c r="A20" s="6" t="s">
        <v>587</v>
      </c>
      <c r="B20" s="6" t="s">
        <v>588</v>
      </c>
      <c r="C20" s="6" t="s">
        <v>589</v>
      </c>
      <c r="D20" s="6" t="s">
        <v>614</v>
      </c>
      <c r="E20" s="6" t="s">
        <v>591</v>
      </c>
    </row>
    <row r="21" ht="30" customHeight="1" spans="1:5" x14ac:dyDescent="0.25">
      <c r="A21" s="8" t="s">
        <v>615</v>
      </c>
      <c r="B21" s="8" t="s">
        <v>616</v>
      </c>
      <c r="C21" s="8" t="s">
        <v>617</v>
      </c>
      <c r="D21" s="8">
        <v>1</v>
      </c>
      <c r="E21" s="8" t="s">
        <v>618</v>
      </c>
    </row>
    <row r="22" ht="30" customHeight="1" spans="1:5" x14ac:dyDescent="0.25">
      <c r="A22" s="8" t="s">
        <v>619</v>
      </c>
      <c r="B22" s="8" t="s">
        <v>620</v>
      </c>
      <c r="C22" s="8" t="s">
        <v>621</v>
      </c>
      <c r="D22" s="8" t="s">
        <v>622</v>
      </c>
      <c r="E22" s="8" t="s">
        <v>623</v>
      </c>
    </row>
    <row r="23" ht="60" customHeight="1" spans="1:5" x14ac:dyDescent="0.25">
      <c r="A23" s="8" t="s">
        <v>624</v>
      </c>
      <c r="B23" s="8" t="s">
        <v>625</v>
      </c>
      <c r="C23" s="8" t="s">
        <v>626</v>
      </c>
      <c r="D23" s="8">
        <v>0</v>
      </c>
      <c r="E23" s="8" t="s">
        <v>627</v>
      </c>
    </row>
    <row r="24" ht="45" customHeight="1" spans="1:5" x14ac:dyDescent="0.25">
      <c r="A24" s="8" t="s">
        <v>628</v>
      </c>
      <c r="B24" s="8" t="s">
        <v>629</v>
      </c>
      <c r="C24" s="8" t="s">
        <v>630</v>
      </c>
      <c r="D24" s="8">
        <v>0</v>
      </c>
      <c r="E24" s="8" t="s">
        <v>631</v>
      </c>
    </row>
    <row r="25" ht="45" customHeight="1" spans="1:5" x14ac:dyDescent="0.25">
      <c r="A25" s="8" t="s">
        <v>632</v>
      </c>
      <c r="B25" s="8" t="s">
        <v>633</v>
      </c>
      <c r="C25" s="8" t="s">
        <v>634</v>
      </c>
      <c r="D25" s="8">
        <v>44</v>
      </c>
      <c r="E25" s="8" t="s">
        <v>635</v>
      </c>
    </row>
    <row r="26" ht="45" customHeight="1" spans="1:5" x14ac:dyDescent="0.25">
      <c r="A26" s="8" t="s">
        <v>636</v>
      </c>
      <c r="B26" s="8" t="s">
        <v>637</v>
      </c>
      <c r="C26" s="8" t="s">
        <v>638</v>
      </c>
      <c r="D26" s="8">
        <v>5</v>
      </c>
      <c r="E26" s="8" t="s">
        <v>639</v>
      </c>
    </row>
    <row r="28" spans="1:5" x14ac:dyDescent="0.25">
      <c r="A28" s="13" t="s">
        <v>640</v>
      </c>
      <c r="B28" s="13"/>
      <c r="C28" s="13"/>
      <c r="D28" s="13"/>
      <c r="E28" s="13"/>
    </row>
    <row r="29" spans="1:5" x14ac:dyDescent="0.25">
      <c r="A29" s="6" t="s">
        <v>8</v>
      </c>
      <c r="B29" s="6" t="s">
        <v>9</v>
      </c>
      <c r="C29" s="6" t="s">
        <v>10</v>
      </c>
      <c r="D29" s="6" t="s">
        <v>641</v>
      </c>
      <c r="E29" s="6" t="s">
        <v>642</v>
      </c>
    </row>
    <row r="30" ht="90" customHeight="1" spans="1:5" x14ac:dyDescent="0.25">
      <c r="A30" s="8" t="s">
        <v>136</v>
      </c>
      <c r="B30" s="8" t="s">
        <v>75</v>
      </c>
      <c r="C30" s="8" t="s">
        <v>137</v>
      </c>
      <c r="D30" s="8" t="s">
        <v>643</v>
      </c>
      <c r="E30" s="8" t="s">
        <v>139</v>
      </c>
    </row>
    <row r="31" ht="60" customHeight="1" spans="1:5" x14ac:dyDescent="0.25">
      <c r="A31" s="8" t="s">
        <v>154</v>
      </c>
      <c r="B31" s="8" t="s">
        <v>144</v>
      </c>
      <c r="C31" s="8" t="s">
        <v>155</v>
      </c>
      <c r="D31" s="8" t="s">
        <v>644</v>
      </c>
      <c r="E31" s="8" t="s">
        <v>157</v>
      </c>
    </row>
    <row r="32" ht="60" customHeight="1" spans="1:5" x14ac:dyDescent="0.25">
      <c r="A32" s="8" t="s">
        <v>190</v>
      </c>
      <c r="B32" s="8" t="s">
        <v>179</v>
      </c>
      <c r="C32" s="8" t="s">
        <v>191</v>
      </c>
      <c r="D32" s="8" t="s">
        <v>644</v>
      </c>
      <c r="E32" s="8" t="s">
        <v>157</v>
      </c>
    </row>
    <row r="33" ht="60" customHeight="1" spans="1:5" x14ac:dyDescent="0.25">
      <c r="A33" s="8" t="s">
        <v>224</v>
      </c>
      <c r="B33" s="8" t="s">
        <v>213</v>
      </c>
      <c r="C33" s="8" t="s">
        <v>225</v>
      </c>
      <c r="D33" s="8" t="s">
        <v>644</v>
      </c>
      <c r="E33" s="8" t="s">
        <v>157</v>
      </c>
    </row>
    <row r="34" ht="60" customHeight="1" spans="1:5" x14ac:dyDescent="0.25">
      <c r="A34" s="8" t="s">
        <v>253</v>
      </c>
      <c r="B34" s="8" t="s">
        <v>242</v>
      </c>
      <c r="C34" s="8" t="s">
        <v>254</v>
      </c>
      <c r="D34" s="8" t="s">
        <v>644</v>
      </c>
      <c r="E34" s="8" t="s">
        <v>157</v>
      </c>
    </row>
    <row r="35" ht="60" customHeight="1" spans="1:5" x14ac:dyDescent="0.25">
      <c r="A35" s="8" t="s">
        <v>319</v>
      </c>
      <c r="B35" s="8" t="s">
        <v>313</v>
      </c>
      <c r="C35" s="8" t="s">
        <v>191</v>
      </c>
      <c r="D35" s="8" t="s">
        <v>644</v>
      </c>
      <c r="E35" s="8" t="s">
        <v>157</v>
      </c>
    </row>
    <row r="36" ht="60" customHeight="1" spans="1:5" x14ac:dyDescent="0.25">
      <c r="A36" s="8" t="s">
        <v>354</v>
      </c>
      <c r="B36" s="8" t="s">
        <v>348</v>
      </c>
      <c r="C36" s="8" t="s">
        <v>191</v>
      </c>
      <c r="D36" s="8" t="s">
        <v>644</v>
      </c>
      <c r="E36" s="8" t="s">
        <v>157</v>
      </c>
    </row>
    <row r="37" ht="60" customHeight="1" spans="1:5" x14ac:dyDescent="0.25">
      <c r="A37" s="8" t="s">
        <v>377</v>
      </c>
      <c r="B37" s="8" t="s">
        <v>366</v>
      </c>
      <c r="C37" s="8" t="s">
        <v>378</v>
      </c>
      <c r="D37" s="8" t="s">
        <v>644</v>
      </c>
      <c r="E37" s="8" t="s">
        <v>157</v>
      </c>
    </row>
    <row r="38" ht="60" customHeight="1" spans="1:5" x14ac:dyDescent="0.25">
      <c r="A38" s="8" t="s">
        <v>400</v>
      </c>
      <c r="B38" s="8" t="s">
        <v>392</v>
      </c>
      <c r="C38" s="8" t="s">
        <v>191</v>
      </c>
      <c r="D38" s="8" t="s">
        <v>644</v>
      </c>
      <c r="E38" s="8" t="s">
        <v>157</v>
      </c>
    </row>
    <row r="39" ht="60" customHeight="1" spans="1:5" x14ac:dyDescent="0.25">
      <c r="A39" s="8" t="s">
        <v>422</v>
      </c>
      <c r="B39" s="8" t="s">
        <v>414</v>
      </c>
      <c r="C39" s="8" t="s">
        <v>191</v>
      </c>
      <c r="D39" s="8" t="s">
        <v>644</v>
      </c>
      <c r="E39" s="8" t="s">
        <v>157</v>
      </c>
    </row>
    <row r="40" ht="60" customHeight="1" spans="1:5" x14ac:dyDescent="0.25">
      <c r="A40" s="8" t="s">
        <v>444</v>
      </c>
      <c r="B40" s="8" t="s">
        <v>436</v>
      </c>
      <c r="C40" s="8" t="s">
        <v>191</v>
      </c>
      <c r="D40" s="8" t="s">
        <v>644</v>
      </c>
      <c r="E40" s="8" t="s">
        <v>157</v>
      </c>
    </row>
    <row r="41" ht="60" customHeight="1" spans="1:5" x14ac:dyDescent="0.25">
      <c r="A41" s="8" t="s">
        <v>466</v>
      </c>
      <c r="B41" s="8" t="s">
        <v>461</v>
      </c>
      <c r="C41" s="8" t="s">
        <v>191</v>
      </c>
      <c r="D41" s="8" t="s">
        <v>644</v>
      </c>
      <c r="E41" s="8" t="s">
        <v>157</v>
      </c>
    </row>
    <row r="42" ht="75" customHeight="1" spans="1:5" x14ac:dyDescent="0.25">
      <c r="A42" s="8" t="s">
        <v>491</v>
      </c>
      <c r="B42" s="8" t="s">
        <v>484</v>
      </c>
      <c r="C42" s="8" t="s">
        <v>492</v>
      </c>
      <c r="D42" s="8" t="s">
        <v>645</v>
      </c>
      <c r="E42" s="8" t="s">
        <v>493</v>
      </c>
    </row>
    <row r="43" ht="75" customHeight="1" spans="1:5" x14ac:dyDescent="0.25">
      <c r="A43" s="8" t="s">
        <v>499</v>
      </c>
      <c r="B43" s="8" t="s">
        <v>484</v>
      </c>
      <c r="C43" s="8" t="s">
        <v>500</v>
      </c>
      <c r="D43" s="8" t="s">
        <v>646</v>
      </c>
      <c r="E43" s="8" t="s">
        <v>501</v>
      </c>
    </row>
    <row r="44" ht="60" customHeight="1" spans="1:5" x14ac:dyDescent="0.25">
      <c r="A44" s="8" t="s">
        <v>513</v>
      </c>
      <c r="B44" s="8" t="s">
        <v>503</v>
      </c>
      <c r="C44" s="8" t="s">
        <v>514</v>
      </c>
      <c r="D44" s="8" t="s">
        <v>647</v>
      </c>
      <c r="E44" s="8" t="s">
        <v>515</v>
      </c>
    </row>
    <row r="45" ht="75" customHeight="1" spans="1:5" x14ac:dyDescent="0.25">
      <c r="A45" s="8" t="s">
        <v>539</v>
      </c>
      <c r="B45" s="8" t="s">
        <v>534</v>
      </c>
      <c r="C45" s="8" t="s">
        <v>540</v>
      </c>
      <c r="D45" s="8" t="s">
        <v>645</v>
      </c>
      <c r="E45" s="8" t="s">
        <v>541</v>
      </c>
    </row>
    <row r="46" ht="75" customHeight="1" spans="1:5" x14ac:dyDescent="0.25">
      <c r="A46" s="8" t="s">
        <v>560</v>
      </c>
      <c r="B46" s="8" t="s">
        <v>557</v>
      </c>
      <c r="C46" s="8" t="s">
        <v>561</v>
      </c>
      <c r="D46" s="8" t="s">
        <v>645</v>
      </c>
      <c r="E46" s="8" t="s">
        <v>562</v>
      </c>
    </row>
    <row r="48" spans="1:5" x14ac:dyDescent="0.25">
      <c r="A48" s="13" t="s">
        <v>648</v>
      </c>
      <c r="B48" s="13"/>
      <c r="C48" s="13"/>
      <c r="D48" s="13"/>
      <c r="E48" s="13"/>
    </row>
    <row r="49" ht="60" customHeight="1" spans="1:5" x14ac:dyDescent="0.25">
      <c r="A49" s="2" t="s">
        <v>649</v>
      </c>
      <c r="B49" s="2"/>
      <c r="C49" s="2"/>
      <c r="D49" s="2"/>
      <c r="E49" s="2"/>
    </row>
    <row r="50" spans="1:5" x14ac:dyDescent="0.25">
      <c r="A50" s="6" t="s">
        <v>8</v>
      </c>
      <c r="B50" s="6" t="s">
        <v>9</v>
      </c>
      <c r="C50" s="6" t="s">
        <v>10</v>
      </c>
      <c r="D50" s="6" t="s">
        <v>650</v>
      </c>
      <c r="E50" s="6" t="s">
        <v>651</v>
      </c>
    </row>
    <row r="51" ht="45" customHeight="1" spans="1:5" x14ac:dyDescent="0.25">
      <c r="A51" s="8" t="s">
        <v>148</v>
      </c>
      <c r="B51" s="8" t="s">
        <v>144</v>
      </c>
      <c r="C51" s="8" t="s">
        <v>149</v>
      </c>
      <c r="D51" s="8" t="s">
        <v>652</v>
      </c>
      <c r="E51" s="8" t="s">
        <v>653</v>
      </c>
    </row>
    <row r="52" ht="45" customHeight="1" spans="1:5" x14ac:dyDescent="0.25">
      <c r="A52" s="8" t="s">
        <v>151</v>
      </c>
      <c r="B52" s="8" t="s">
        <v>144</v>
      </c>
      <c r="C52" s="8" t="s">
        <v>152</v>
      </c>
      <c r="D52" s="8" t="s">
        <v>652</v>
      </c>
      <c r="E52" s="8" t="s">
        <v>654</v>
      </c>
    </row>
    <row r="53" ht="45" customHeight="1" spans="1:5" x14ac:dyDescent="0.25">
      <c r="A53" s="8" t="s">
        <v>167</v>
      </c>
      <c r="B53" s="8" t="s">
        <v>144</v>
      </c>
      <c r="C53" s="8" t="s">
        <v>168</v>
      </c>
      <c r="D53" s="8" t="s">
        <v>652</v>
      </c>
      <c r="E53" s="8" t="s">
        <v>655</v>
      </c>
    </row>
    <row r="54" ht="45" customHeight="1" spans="1:5" x14ac:dyDescent="0.25">
      <c r="A54" s="8" t="s">
        <v>170</v>
      </c>
      <c r="B54" s="8" t="s">
        <v>144</v>
      </c>
      <c r="C54" s="8" t="s">
        <v>171</v>
      </c>
      <c r="D54" s="8" t="s">
        <v>652</v>
      </c>
      <c r="E54" s="8" t="s">
        <v>656</v>
      </c>
    </row>
    <row r="55" ht="45" customHeight="1" spans="1:5" x14ac:dyDescent="0.25">
      <c r="A55" s="8" t="s">
        <v>173</v>
      </c>
      <c r="B55" s="8" t="s">
        <v>144</v>
      </c>
      <c r="C55" s="8" t="s">
        <v>174</v>
      </c>
      <c r="D55" s="8" t="s">
        <v>652</v>
      </c>
      <c r="E55" s="8" t="s">
        <v>657</v>
      </c>
    </row>
    <row r="56" ht="45" customHeight="1" spans="1:5" x14ac:dyDescent="0.25">
      <c r="A56" s="8" t="s">
        <v>176</v>
      </c>
      <c r="B56" s="8" t="s">
        <v>144</v>
      </c>
      <c r="C56" s="8" t="s">
        <v>177</v>
      </c>
      <c r="D56" s="8" t="s">
        <v>652</v>
      </c>
      <c r="E56" s="8" t="s">
        <v>658</v>
      </c>
    </row>
    <row r="57" ht="45" customHeight="1" spans="1:5" x14ac:dyDescent="0.25">
      <c r="A57" s="8" t="s">
        <v>185</v>
      </c>
      <c r="B57" s="8" t="s">
        <v>179</v>
      </c>
      <c r="C57" s="8" t="s">
        <v>186</v>
      </c>
      <c r="D57" s="8" t="s">
        <v>652</v>
      </c>
      <c r="E57" s="8" t="s">
        <v>659</v>
      </c>
    </row>
    <row r="58" ht="45" customHeight="1" spans="1:5" x14ac:dyDescent="0.25">
      <c r="A58" s="8" t="s">
        <v>188</v>
      </c>
      <c r="B58" s="8" t="s">
        <v>179</v>
      </c>
      <c r="C58" s="8" t="s">
        <v>189</v>
      </c>
      <c r="D58" s="8" t="s">
        <v>652</v>
      </c>
      <c r="E58" s="8" t="s">
        <v>660</v>
      </c>
    </row>
    <row r="59" ht="45" customHeight="1" spans="1:5" x14ac:dyDescent="0.25">
      <c r="A59" s="8" t="s">
        <v>206</v>
      </c>
      <c r="B59" s="8" t="s">
        <v>179</v>
      </c>
      <c r="C59" s="8" t="s">
        <v>207</v>
      </c>
      <c r="D59" s="8" t="s">
        <v>652</v>
      </c>
      <c r="E59" s="8" t="s">
        <v>661</v>
      </c>
    </row>
    <row r="60" ht="45" customHeight="1" spans="1:5" x14ac:dyDescent="0.25">
      <c r="A60" s="8" t="s">
        <v>219</v>
      </c>
      <c r="B60" s="8" t="s">
        <v>213</v>
      </c>
      <c r="C60" s="8" t="s">
        <v>220</v>
      </c>
      <c r="D60" s="8" t="s">
        <v>652</v>
      </c>
      <c r="E60" s="8" t="s">
        <v>662</v>
      </c>
    </row>
    <row r="61" ht="45" customHeight="1" spans="1:5" x14ac:dyDescent="0.25">
      <c r="A61" s="8" t="s">
        <v>222</v>
      </c>
      <c r="B61" s="8" t="s">
        <v>213</v>
      </c>
      <c r="C61" s="8" t="s">
        <v>223</v>
      </c>
      <c r="D61" s="8" t="s">
        <v>652</v>
      </c>
      <c r="E61" s="8" t="s">
        <v>663</v>
      </c>
    </row>
    <row r="62" ht="45" customHeight="1" spans="1:5" x14ac:dyDescent="0.25">
      <c r="A62" s="8" t="s">
        <v>238</v>
      </c>
      <c r="B62" s="8" t="s">
        <v>213</v>
      </c>
      <c r="C62" s="8" t="s">
        <v>239</v>
      </c>
      <c r="D62" s="8" t="s">
        <v>652</v>
      </c>
      <c r="E62" s="8" t="s">
        <v>664</v>
      </c>
    </row>
    <row r="63" ht="45" customHeight="1" spans="1:5" x14ac:dyDescent="0.25">
      <c r="A63" s="8" t="s">
        <v>248</v>
      </c>
      <c r="B63" s="8" t="s">
        <v>242</v>
      </c>
      <c r="C63" s="8" t="s">
        <v>249</v>
      </c>
      <c r="D63" s="8" t="s">
        <v>652</v>
      </c>
      <c r="E63" s="8" t="s">
        <v>665</v>
      </c>
    </row>
    <row r="64" ht="45" customHeight="1" spans="1:5" x14ac:dyDescent="0.25">
      <c r="A64" s="8" t="s">
        <v>251</v>
      </c>
      <c r="B64" s="8" t="s">
        <v>242</v>
      </c>
      <c r="C64" s="8" t="s">
        <v>252</v>
      </c>
      <c r="D64" s="8" t="s">
        <v>652</v>
      </c>
      <c r="E64" s="8" t="s">
        <v>666</v>
      </c>
    </row>
    <row r="65" ht="45" customHeight="1" spans="1:5" x14ac:dyDescent="0.25">
      <c r="A65" s="8" t="s">
        <v>274</v>
      </c>
      <c r="B65" s="8" t="s">
        <v>268</v>
      </c>
      <c r="C65" s="8" t="s">
        <v>275</v>
      </c>
      <c r="D65" s="8" t="s">
        <v>652</v>
      </c>
      <c r="E65" s="8" t="s">
        <v>667</v>
      </c>
    </row>
    <row r="66" ht="45" customHeight="1" spans="1:5" x14ac:dyDescent="0.25">
      <c r="A66" s="8" t="s">
        <v>277</v>
      </c>
      <c r="B66" s="8" t="s">
        <v>268</v>
      </c>
      <c r="C66" s="8" t="s">
        <v>278</v>
      </c>
      <c r="D66" s="8" t="s">
        <v>652</v>
      </c>
      <c r="E66" s="8" t="s">
        <v>668</v>
      </c>
    </row>
    <row r="67" ht="45" customHeight="1" spans="1:5" x14ac:dyDescent="0.25">
      <c r="A67" s="8" t="s">
        <v>293</v>
      </c>
      <c r="B67" s="8" t="s">
        <v>268</v>
      </c>
      <c r="C67" s="8" t="s">
        <v>294</v>
      </c>
      <c r="D67" s="8" t="s">
        <v>652</v>
      </c>
      <c r="E67" s="8" t="s">
        <v>669</v>
      </c>
    </row>
    <row r="68" ht="45" customHeight="1" spans="1:5" x14ac:dyDescent="0.25">
      <c r="A68" s="8" t="s">
        <v>296</v>
      </c>
      <c r="B68" s="8" t="s">
        <v>268</v>
      </c>
      <c r="C68" s="8" t="s">
        <v>297</v>
      </c>
      <c r="D68" s="8" t="s">
        <v>652</v>
      </c>
      <c r="E68" s="8" t="s">
        <v>670</v>
      </c>
    </row>
    <row r="69" ht="45" customHeight="1" spans="1:5" x14ac:dyDescent="0.25">
      <c r="A69" s="8" t="s">
        <v>302</v>
      </c>
      <c r="B69" s="8" t="s">
        <v>300</v>
      </c>
      <c r="C69" s="8" t="s">
        <v>303</v>
      </c>
      <c r="D69" s="8" t="s">
        <v>652</v>
      </c>
      <c r="E69" s="8" t="s">
        <v>671</v>
      </c>
    </row>
    <row r="70" ht="45" customHeight="1" spans="1:5" x14ac:dyDescent="0.25">
      <c r="A70" s="8" t="s">
        <v>305</v>
      </c>
      <c r="B70" s="8" t="s">
        <v>300</v>
      </c>
      <c r="C70" s="8" t="s">
        <v>306</v>
      </c>
      <c r="D70" s="8" t="s">
        <v>652</v>
      </c>
      <c r="E70" s="8" t="s">
        <v>672</v>
      </c>
    </row>
    <row r="71" ht="45" customHeight="1" spans="1:5" x14ac:dyDescent="0.25">
      <c r="A71" s="8" t="s">
        <v>307</v>
      </c>
      <c r="B71" s="8" t="s">
        <v>300</v>
      </c>
      <c r="C71" s="8" t="s">
        <v>308</v>
      </c>
      <c r="D71" s="8" t="s">
        <v>652</v>
      </c>
      <c r="E71" s="8" t="s">
        <v>673</v>
      </c>
    </row>
    <row r="72" ht="45" customHeight="1" spans="1:5" x14ac:dyDescent="0.25">
      <c r="A72" s="8" t="s">
        <v>309</v>
      </c>
      <c r="B72" s="8" t="s">
        <v>300</v>
      </c>
      <c r="C72" s="8" t="s">
        <v>310</v>
      </c>
      <c r="D72" s="8" t="s">
        <v>652</v>
      </c>
      <c r="E72" s="8" t="s">
        <v>674</v>
      </c>
    </row>
    <row r="73" ht="45" customHeight="1" spans="1:5" x14ac:dyDescent="0.25">
      <c r="A73" s="8" t="s">
        <v>316</v>
      </c>
      <c r="B73" s="8" t="s">
        <v>313</v>
      </c>
      <c r="C73" s="8" t="s">
        <v>186</v>
      </c>
      <c r="D73" s="8" t="s">
        <v>652</v>
      </c>
      <c r="E73" s="8" t="s">
        <v>675</v>
      </c>
    </row>
    <row r="74" ht="45" customHeight="1" spans="1:5" x14ac:dyDescent="0.25">
      <c r="A74" s="8" t="s">
        <v>318</v>
      </c>
      <c r="B74" s="8" t="s">
        <v>313</v>
      </c>
      <c r="C74" s="8" t="s">
        <v>189</v>
      </c>
      <c r="D74" s="8" t="s">
        <v>652</v>
      </c>
      <c r="E74" s="8" t="s">
        <v>676</v>
      </c>
    </row>
    <row r="75" ht="45" customHeight="1" spans="1:5" x14ac:dyDescent="0.25">
      <c r="A75" s="8" t="s">
        <v>332</v>
      </c>
      <c r="B75" s="8" t="s">
        <v>313</v>
      </c>
      <c r="C75" s="8" t="s">
        <v>333</v>
      </c>
      <c r="D75" s="8" t="s">
        <v>652</v>
      </c>
      <c r="E75" s="8" t="s">
        <v>677</v>
      </c>
    </row>
    <row r="76" ht="45" customHeight="1" spans="1:5" x14ac:dyDescent="0.25">
      <c r="A76" s="8" t="s">
        <v>338</v>
      </c>
      <c r="B76" s="8" t="s">
        <v>339</v>
      </c>
      <c r="C76" s="8" t="s">
        <v>340</v>
      </c>
      <c r="D76" s="8" t="s">
        <v>678</v>
      </c>
      <c r="E76" s="8" t="s">
        <v>679</v>
      </c>
    </row>
    <row r="77" ht="45" customHeight="1" spans="1:5" x14ac:dyDescent="0.25">
      <c r="A77" s="8" t="s">
        <v>342</v>
      </c>
      <c r="B77" s="8" t="s">
        <v>339</v>
      </c>
      <c r="C77" s="8" t="s">
        <v>343</v>
      </c>
      <c r="D77" s="8" t="s">
        <v>678</v>
      </c>
      <c r="E77" s="8" t="s">
        <v>680</v>
      </c>
    </row>
    <row r="78" ht="45" customHeight="1" spans="1:5" x14ac:dyDescent="0.25">
      <c r="A78" s="8" t="s">
        <v>351</v>
      </c>
      <c r="B78" s="8" t="s">
        <v>348</v>
      </c>
      <c r="C78" s="8" t="s">
        <v>186</v>
      </c>
      <c r="D78" s="8" t="s">
        <v>652</v>
      </c>
      <c r="E78" s="8" t="s">
        <v>681</v>
      </c>
    </row>
    <row r="79" ht="45" customHeight="1" spans="1:5" x14ac:dyDescent="0.25">
      <c r="A79" s="8" t="s">
        <v>353</v>
      </c>
      <c r="B79" s="8" t="s">
        <v>348</v>
      </c>
      <c r="C79" s="8" t="s">
        <v>189</v>
      </c>
      <c r="D79" s="8" t="s">
        <v>652</v>
      </c>
      <c r="E79" s="8" t="s">
        <v>682</v>
      </c>
    </row>
    <row r="80" ht="45" customHeight="1" spans="1:5" x14ac:dyDescent="0.25">
      <c r="A80" s="8" t="s">
        <v>372</v>
      </c>
      <c r="B80" s="8" t="s">
        <v>366</v>
      </c>
      <c r="C80" s="8" t="s">
        <v>373</v>
      </c>
      <c r="D80" s="8" t="s">
        <v>652</v>
      </c>
      <c r="E80" s="8" t="s">
        <v>683</v>
      </c>
    </row>
    <row r="81" ht="45" customHeight="1" spans="1:5" x14ac:dyDescent="0.25">
      <c r="A81" s="8" t="s">
        <v>375</v>
      </c>
      <c r="B81" s="8" t="s">
        <v>366</v>
      </c>
      <c r="C81" s="8" t="s">
        <v>376</v>
      </c>
      <c r="D81" s="8" t="s">
        <v>652</v>
      </c>
      <c r="E81" s="8" t="s">
        <v>684</v>
      </c>
    </row>
    <row r="82" ht="45" customHeight="1" spans="1:5" x14ac:dyDescent="0.25">
      <c r="A82" s="8" t="s">
        <v>397</v>
      </c>
      <c r="B82" s="8" t="s">
        <v>392</v>
      </c>
      <c r="C82" s="8" t="s">
        <v>186</v>
      </c>
      <c r="D82" s="8" t="s">
        <v>652</v>
      </c>
      <c r="E82" s="8" t="s">
        <v>685</v>
      </c>
    </row>
    <row r="83" ht="45" customHeight="1" spans="1:5" x14ac:dyDescent="0.25">
      <c r="A83" s="8" t="s">
        <v>399</v>
      </c>
      <c r="B83" s="8" t="s">
        <v>392</v>
      </c>
      <c r="C83" s="8" t="s">
        <v>189</v>
      </c>
      <c r="D83" s="8" t="s">
        <v>652</v>
      </c>
      <c r="E83" s="8" t="s">
        <v>686</v>
      </c>
    </row>
    <row r="84" ht="45" customHeight="1" spans="1:5" x14ac:dyDescent="0.25">
      <c r="A84" s="8" t="s">
        <v>419</v>
      </c>
      <c r="B84" s="8" t="s">
        <v>414</v>
      </c>
      <c r="C84" s="8" t="s">
        <v>186</v>
      </c>
      <c r="D84" s="8" t="s">
        <v>652</v>
      </c>
      <c r="E84" s="8" t="s">
        <v>687</v>
      </c>
    </row>
    <row r="85" ht="45" customHeight="1" spans="1:5" x14ac:dyDescent="0.25">
      <c r="A85" s="8" t="s">
        <v>421</v>
      </c>
      <c r="B85" s="8" t="s">
        <v>414</v>
      </c>
      <c r="C85" s="8" t="s">
        <v>189</v>
      </c>
      <c r="D85" s="8" t="s">
        <v>652</v>
      </c>
      <c r="E85" s="8" t="s">
        <v>688</v>
      </c>
    </row>
    <row r="86" ht="45" customHeight="1" spans="1:5" x14ac:dyDescent="0.25">
      <c r="A86" s="8" t="s">
        <v>441</v>
      </c>
      <c r="B86" s="8" t="s">
        <v>436</v>
      </c>
      <c r="C86" s="8" t="s">
        <v>186</v>
      </c>
      <c r="D86" s="8" t="s">
        <v>652</v>
      </c>
      <c r="E86" s="8" t="s">
        <v>689</v>
      </c>
    </row>
    <row r="87" ht="45" customHeight="1" spans="1:5" x14ac:dyDescent="0.25">
      <c r="A87" s="8" t="s">
        <v>443</v>
      </c>
      <c r="B87" s="8" t="s">
        <v>436</v>
      </c>
      <c r="C87" s="8" t="s">
        <v>189</v>
      </c>
      <c r="D87" s="8" t="s">
        <v>652</v>
      </c>
      <c r="E87" s="8" t="s">
        <v>690</v>
      </c>
    </row>
    <row r="88" ht="45" customHeight="1" spans="1:5" x14ac:dyDescent="0.25">
      <c r="A88" s="8" t="s">
        <v>465</v>
      </c>
      <c r="B88" s="8" t="s">
        <v>461</v>
      </c>
      <c r="C88" s="8" t="s">
        <v>189</v>
      </c>
      <c r="D88" s="8" t="s">
        <v>652</v>
      </c>
      <c r="E88" s="8" t="s">
        <v>691</v>
      </c>
    </row>
    <row r="89" ht="45" customHeight="1" spans="1:5" x14ac:dyDescent="0.25">
      <c r="A89" s="8" t="s">
        <v>488</v>
      </c>
      <c r="B89" s="8" t="s">
        <v>484</v>
      </c>
      <c r="C89" s="8" t="s">
        <v>489</v>
      </c>
      <c r="D89" s="8" t="s">
        <v>652</v>
      </c>
      <c r="E89" s="8" t="s">
        <v>692</v>
      </c>
    </row>
    <row r="90" ht="45" customHeight="1" spans="1:5" x14ac:dyDescent="0.25">
      <c r="A90" s="8" t="s">
        <v>494</v>
      </c>
      <c r="B90" s="8" t="s">
        <v>484</v>
      </c>
      <c r="C90" s="8" t="s">
        <v>495</v>
      </c>
      <c r="D90" s="8" t="s">
        <v>693</v>
      </c>
      <c r="E90" s="8" t="s">
        <v>694</v>
      </c>
    </row>
    <row r="91" ht="45" customHeight="1" spans="1:5" x14ac:dyDescent="0.25">
      <c r="A91" s="8" t="s">
        <v>516</v>
      </c>
      <c r="B91" s="8" t="s">
        <v>517</v>
      </c>
      <c r="C91" s="8" t="s">
        <v>518</v>
      </c>
      <c r="D91" s="8" t="s">
        <v>678</v>
      </c>
      <c r="E91" s="8" t="s">
        <v>695</v>
      </c>
    </row>
    <row r="92" ht="45" customHeight="1" spans="1:5" x14ac:dyDescent="0.25">
      <c r="A92" s="8" t="s">
        <v>520</v>
      </c>
      <c r="B92" s="8" t="s">
        <v>517</v>
      </c>
      <c r="C92" s="8" t="s">
        <v>521</v>
      </c>
      <c r="D92" s="8" t="s">
        <v>652</v>
      </c>
      <c r="E92" s="8" t="s">
        <v>696</v>
      </c>
    </row>
    <row r="93" ht="45" customHeight="1" spans="1:5" x14ac:dyDescent="0.25">
      <c r="A93" s="8" t="s">
        <v>526</v>
      </c>
      <c r="B93" s="8" t="s">
        <v>524</v>
      </c>
      <c r="C93" s="8" t="s">
        <v>527</v>
      </c>
      <c r="D93" s="8" t="s">
        <v>678</v>
      </c>
      <c r="E93" s="8" t="s">
        <v>697</v>
      </c>
    </row>
    <row r="94" ht="45" customHeight="1" spans="1:5" x14ac:dyDescent="0.25">
      <c r="A94" s="8" t="s">
        <v>546</v>
      </c>
      <c r="B94" s="8" t="s">
        <v>543</v>
      </c>
      <c r="C94" s="8" t="s">
        <v>547</v>
      </c>
      <c r="D94" s="8" t="s">
        <v>652</v>
      </c>
      <c r="E94" s="8" t="s">
        <v>698</v>
      </c>
    </row>
    <row r="95" ht="45" customHeight="1" spans="1:5" x14ac:dyDescent="0.25">
      <c r="A95" s="8" t="s">
        <v>553</v>
      </c>
      <c r="B95" s="8" t="s">
        <v>550</v>
      </c>
      <c r="C95" s="8" t="s">
        <v>554</v>
      </c>
      <c r="D95" s="8" t="s">
        <v>652</v>
      </c>
      <c r="E95" s="8" t="s">
        <v>699</v>
      </c>
    </row>
    <row r="96" ht="45" customHeight="1" spans="1:5" x14ac:dyDescent="0.25">
      <c r="A96" s="8" t="s">
        <v>563</v>
      </c>
      <c r="B96" s="8" t="s">
        <v>75</v>
      </c>
      <c r="C96" s="8" t="s">
        <v>564</v>
      </c>
      <c r="D96" s="8" t="s">
        <v>652</v>
      </c>
      <c r="E96" s="8" t="s">
        <v>700</v>
      </c>
    </row>
    <row r="97" ht="45" customHeight="1" spans="1:5" x14ac:dyDescent="0.25">
      <c r="A97" s="8" t="s">
        <v>566</v>
      </c>
      <c r="B97" s="8" t="s">
        <v>313</v>
      </c>
      <c r="C97" s="8" t="s">
        <v>567</v>
      </c>
      <c r="D97" s="8" t="s">
        <v>652</v>
      </c>
      <c r="E97" s="8" t="s">
        <v>701</v>
      </c>
    </row>
    <row r="98" ht="45" customHeight="1" spans="1:5" x14ac:dyDescent="0.25">
      <c r="A98" s="8" t="s">
        <v>569</v>
      </c>
      <c r="B98" s="8" t="s">
        <v>313</v>
      </c>
      <c r="C98" s="8" t="s">
        <v>570</v>
      </c>
      <c r="D98" s="8" t="s">
        <v>652</v>
      </c>
      <c r="E98" s="8" t="s">
        <v>702</v>
      </c>
    </row>
    <row r="99" ht="45" customHeight="1" spans="1:5" x14ac:dyDescent="0.25">
      <c r="A99" s="8" t="s">
        <v>572</v>
      </c>
      <c r="B99" s="8" t="s">
        <v>313</v>
      </c>
      <c r="C99" s="8" t="s">
        <v>573</v>
      </c>
      <c r="D99" s="8" t="s">
        <v>652</v>
      </c>
      <c r="E99" s="8" t="s">
        <v>703</v>
      </c>
    </row>
    <row r="100" ht="45" customHeight="1" spans="1:5" x14ac:dyDescent="0.25">
      <c r="A100" s="8" t="s">
        <v>575</v>
      </c>
      <c r="B100" s="8" t="s">
        <v>517</v>
      </c>
      <c r="C100" s="8" t="s">
        <v>576</v>
      </c>
      <c r="D100" s="8" t="s">
        <v>678</v>
      </c>
      <c r="E100" s="8" t="s">
        <v>704</v>
      </c>
    </row>
  </sheetData>
  <mergeCells count="11">
    <mergeCell ref="A1:E1"/>
    <mergeCell ref="A2:E2"/>
    <mergeCell ref="A4:E4"/>
    <mergeCell ref="A5:E5"/>
    <mergeCell ref="A9:E9"/>
    <mergeCell ref="A10:E10"/>
    <mergeCell ref="A18:E18"/>
    <mergeCell ref="A19:E19"/>
    <mergeCell ref="A28:E28"/>
    <mergeCell ref="A48:E48"/>
    <mergeCell ref="A49:E4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FormatPr defaultRowHeight="15" outlineLevelRow="0" outlineLevelCol="0" x14ac:dyDescent="55"/>
  <cols>
    <col min="1" max="1" width="58" customWidth="1"/>
    <col min="2" max="2" width="16" customWidth="1"/>
    <col min="3" max="3" width="70" customWidth="1"/>
  </cols>
  <sheetData>
    <row r="1" spans="1:1" x14ac:dyDescent="0.25">
      <c r="A1" s="1" t="s">
        <v>705</v>
      </c>
    </row>
    <row r="2" spans="1:1" x14ac:dyDescent="0.25"/>
    <row r="3" spans="1:3" x14ac:dyDescent="0.25">
      <c r="A3" s="14" t="s">
        <v>706</v>
      </c>
      <c r="B3" s="14"/>
      <c r="C3" s="14"/>
    </row>
    <row r="4" spans="1:3" x14ac:dyDescent="0.25">
      <c r="A4" s="15" t="s">
        <v>707</v>
      </c>
      <c r="B4" s="16">
        <f>COUNTA(Review!$A$5:$A$207)</f>
        <v>203</v>
      </c>
      <c r="C4" s="17" t="s">
        <v>708</v>
      </c>
    </row>
    <row r="5" spans="1:1" x14ac:dyDescent="0.25"/>
    <row r="6" spans="1:3" x14ac:dyDescent="0.25">
      <c r="A6" s="14" t="s">
        <v>709</v>
      </c>
      <c r="B6" s="14"/>
      <c r="C6" s="14"/>
    </row>
    <row r="7" spans="1:2" x14ac:dyDescent="0.25">
      <c r="A7" s="15" t="s">
        <v>710</v>
      </c>
      <c r="B7" s="16">
        <f>COUNTIF(Review!$F$5:$F$207,"Yes")</f>
        <v>186</v>
      </c>
    </row>
    <row r="8" spans="1:2" x14ac:dyDescent="0.25">
      <c r="A8" s="15" t="s">
        <v>711</v>
      </c>
      <c r="B8" s="16">
        <f>COUNTIF(Review!$F$5:$F$207,"No")</f>
        <v>17</v>
      </c>
    </row>
    <row r="9" spans="1:2" x14ac:dyDescent="0.25">
      <c r="A9" s="15" t="s">
        <v>712</v>
      </c>
      <c r="B9" s="16">
        <f>COUNTIF(Review!$J$5:$J$207,"Yes")</f>
        <v>136</v>
      </c>
    </row>
    <row r="10" spans="1:2" x14ac:dyDescent="0.25">
      <c r="A10" s="15" t="s">
        <v>713</v>
      </c>
      <c r="B10" s="16">
        <f>COUNTIF(Review!$J$5:$J$207,"No")</f>
        <v>67</v>
      </c>
    </row>
    <row r="11" spans="1:1" x14ac:dyDescent="0.25"/>
    <row r="12" spans="1:3" x14ac:dyDescent="0.25">
      <c r="A12" s="14" t="s">
        <v>714</v>
      </c>
      <c r="B12" s="14"/>
      <c r="C12" s="14"/>
    </row>
    <row r="13" spans="1:1" x14ac:dyDescent="0.25">
      <c r="A13" s="15" t="s">
        <v>715</v>
      </c>
    </row>
    <row r="14" spans="1:2" x14ac:dyDescent="0.25">
      <c r="A14" s="15" t="s">
        <v>716</v>
      </c>
      <c r="B14" s="16">
        <f>COUNTIF(Review!$H$5:$H$207,"Yes")</f>
        <v>0</v>
      </c>
    </row>
    <row r="15" spans="1:2" x14ac:dyDescent="0.25">
      <c r="A15" s="15" t="s">
        <v>717</v>
      </c>
      <c r="B15" s="16">
        <f>COUNTIF(Review!$H$5:$H$207,"No")</f>
        <v>0</v>
      </c>
    </row>
    <row r="16" spans="1:2" x14ac:dyDescent="0.25">
      <c r="A16" s="15" t="s">
        <v>718</v>
      </c>
      <c r="B16" s="16">
        <f>B4-B14-B15</f>
        <v>203</v>
      </c>
    </row>
    <row r="17" spans="1:1" x14ac:dyDescent="0.25">
      <c r="A17" s="15" t="s">
        <v>719</v>
      </c>
    </row>
    <row r="18" spans="1:2" x14ac:dyDescent="0.25">
      <c r="A18" s="15" t="s">
        <v>716</v>
      </c>
      <c r="B18" s="16">
        <f>COUNTIF(Review!$L$5:$L$207,"Yes")</f>
        <v>0</v>
      </c>
    </row>
    <row r="19" spans="1:2" x14ac:dyDescent="0.25">
      <c r="A19" s="15" t="s">
        <v>717</v>
      </c>
      <c r="B19" s="16">
        <f>COUNTIF(Review!$L$5:$L$207,"No")</f>
        <v>0</v>
      </c>
    </row>
    <row r="20" spans="1:2" x14ac:dyDescent="0.25">
      <c r="A20" s="15" t="s">
        <v>718</v>
      </c>
      <c r="B20" s="16">
        <f>B4-B18-B19</f>
        <v>203</v>
      </c>
    </row>
    <row r="21" spans="1:2" x14ac:dyDescent="0.25">
      <c r="A21" s="18" t="s">
        <v>720</v>
      </c>
      <c r="B21" s="19">
        <f>COUNTIF(Review!$N$5:$N$207,"Yes")+COUNTIF(Review!$N$5:$N$207,"No")</f>
        <v>0</v>
      </c>
    </row>
    <row r="22" spans="1:1" x14ac:dyDescent="0.25"/>
    <row r="23" spans="1:3" x14ac:dyDescent="0.25">
      <c r="A23" s="14" t="s">
        <v>721</v>
      </c>
      <c r="B23" s="14"/>
      <c r="C23" s="14"/>
    </row>
    <row r="24" spans="1:2" x14ac:dyDescent="0.25">
      <c r="A24" s="15" t="s">
        <v>722</v>
      </c>
      <c r="B24" s="16">
        <f>COUNTIF(Review!$N$5:$N$207,"Yes")</f>
        <v>0</v>
      </c>
    </row>
    <row r="25" spans="1:2" x14ac:dyDescent="0.25">
      <c r="A25" s="15" t="s">
        <v>723</v>
      </c>
      <c r="B25" s="16">
        <f>COUNTIF(Review!$N$5:$N$207,"No")</f>
        <v>0</v>
      </c>
    </row>
    <row r="26" spans="1:3" x14ac:dyDescent="0.25">
      <c r="A26" s="18" t="s">
        <v>724</v>
      </c>
      <c r="B26" s="20" t="str">
        <f>IF(B21=0,"Not yet filled in",B24/B21)</f>
        <v>Not yet filled in</v>
      </c>
      <c r="C26" s="17" t="s">
        <v>725</v>
      </c>
    </row>
    <row r="27" spans="1:2" x14ac:dyDescent="0.25">
      <c r="A27" s="15" t="s">
        <v>726</v>
      </c>
      <c r="B27" s="16">
        <f>COUNTIFS(Review!$F$5:$F$207,"Yes",Review!$H$5:$H$207,"Yes")+COUNTIFS(Review!$F$5:$F$207,"No",Review!$H$5:$H$207,"No")</f>
        <v>0</v>
      </c>
    </row>
    <row r="28" spans="1:2" x14ac:dyDescent="0.25">
      <c r="A28" s="15" t="s">
        <v>727</v>
      </c>
      <c r="B28" s="21" t="str">
        <f>IF(B14+B15=0,"Not yet filled in",B27/(B14+B15))</f>
        <v>Not yet filled in</v>
      </c>
    </row>
    <row r="29" spans="1:2" x14ac:dyDescent="0.25">
      <c r="A29" s="15" t="s">
        <v>728</v>
      </c>
      <c r="B29" s="16">
        <f>COUNTIFS(Review!$J$5:$J$207,"Yes",Review!$L$5:$L$207,"Yes")+COUNTIFS(Review!$J$5:$J$207,"No",Review!$L$5:$L$207,"No")</f>
        <v>0</v>
      </c>
    </row>
    <row r="30" spans="1:2" x14ac:dyDescent="0.25">
      <c r="A30" s="15" t="s">
        <v>729</v>
      </c>
      <c r="B30" s="21" t="str">
        <f>IF(B18+B19=0,"Not yet filled in",B29/(B18+B19))</f>
        <v>Not yet filled in</v>
      </c>
    </row>
    <row r="31" spans="1:1" x14ac:dyDescent="0.25"/>
    <row r="32" spans="1:3" x14ac:dyDescent="0.25">
      <c r="A32" s="14" t="s">
        <v>730</v>
      </c>
      <c r="B32" s="14"/>
      <c r="C32" s="14"/>
    </row>
    <row r="33" spans="1:2" x14ac:dyDescent="0.25">
      <c r="A33" s="15" t="s">
        <v>731</v>
      </c>
      <c r="B33" s="16">
        <f>COUNTIFS(Review!$F$5:$F$207,"Yes",Review!$H$5:$H$207,"No")</f>
        <v>0</v>
      </c>
    </row>
    <row r="34" spans="1:2" x14ac:dyDescent="0.25">
      <c r="A34" s="15" t="s">
        <v>732</v>
      </c>
      <c r="B34" s="16">
        <f>COUNTIFS(Review!$F$5:$F$207,"No",Review!$H$5:$H$207,"Yes")</f>
        <v>0</v>
      </c>
    </row>
    <row r="35" spans="1:2" x14ac:dyDescent="0.25">
      <c r="A35" s="15" t="s">
        <v>733</v>
      </c>
      <c r="B35" s="16">
        <f>COUNTIFS(Review!$J$5:$J$207,"Yes",Review!$L$5:$L$207,"No")</f>
        <v>0</v>
      </c>
    </row>
    <row r="36" spans="1:2" x14ac:dyDescent="0.25">
      <c r="A36" s="15" t="s">
        <v>734</v>
      </c>
      <c r="B36" s="16">
        <f>COUNTIFS(Review!$J$5:$J$207,"No",Review!$L$5:$L$207,"Yes")</f>
        <v>0</v>
      </c>
    </row>
    <row r="37" spans="1:1" x14ac:dyDescent="0.25"/>
    <row r="38" spans="1:3" x14ac:dyDescent="0.25">
      <c r="A38" s="14" t="s">
        <v>735</v>
      </c>
      <c r="B38" s="14"/>
      <c r="C38" s="14"/>
    </row>
    <row r="39" spans="1:3" x14ac:dyDescent="0.25">
      <c r="A39" s="15" t="s">
        <v>736</v>
      </c>
      <c r="B39" s="16">
        <f>COUNTIFS(Review!$H$5:$H$207,"No",Review!$I$5:$I$207,"")</f>
        <v>0</v>
      </c>
      <c r="C39" s="17" t="s">
        <v>737</v>
      </c>
    </row>
    <row r="40" spans="1:3" x14ac:dyDescent="0.25">
      <c r="A40" s="15" t="s">
        <v>738</v>
      </c>
      <c r="B40" s="16">
        <f>COUNTIFS(Review!$L$5:$L$207,"No",Review!$M$5:$M$207,"")</f>
        <v>0</v>
      </c>
      <c r="C40" s="17" t="s">
        <v>739</v>
      </c>
    </row>
    <row r="41" spans="1:3" x14ac:dyDescent="0.25">
      <c r="A41" s="15" t="s">
        <v>740</v>
      </c>
      <c r="B41" s="16">
        <f>COUNTIFS(Review!$H$5:$H$207,"No",Review!$L$5:$L$207,"Yes")</f>
        <v>0</v>
      </c>
      <c r="C41" s="17" t="s">
        <v>741</v>
      </c>
    </row>
    <row r="42" spans="1: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Review</vt:lpstr>
      <vt:lpstr>Guidance</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(AI suggestions) — for human review</dc:creator>
  <dc:title/>
  <dc:subject/>
  <dc:description/>
  <cp:keywords/>
  <cp:category/>
  <cp:lastModifiedBy>Unknown</cp:lastModifiedBy>
  <dcterms:created xsi:type="dcterms:W3CDTF">2026-09-26T19:20:44Z</dcterms:created>
  <dcterms:modified xsi:type="dcterms:W3CDTF">2026-09-26T19:20:44Z</dcterms:modified>
</cp:coreProperties>
</file>