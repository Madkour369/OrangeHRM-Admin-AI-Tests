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drawings/drawing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nual Execution" state="visible" r:id="rId4"/>
    <sheet sheetId="2" name="Automation" state="visible" r:id="rId5"/>
    <sheet sheetId="3" name="Comparison" state="visible" r:id="rId6"/>
    <sheet sheetId="4" name="Selection rationale" state="visible" r:id="rId7"/>
  </sheets>
  <calcPr calcId="171027" fullCalcOnLoad="1"/>
</workbook>
</file>

<file path=xl/sharedStrings.xml><?xml version="1.0" encoding="utf-8"?>
<sst xmlns="http://schemas.openxmlformats.org/spreadsheetml/2006/main" count="3036" uniqueCount="997">
  <si>
    <t>Manual execution (M4) — all 186 valid-in-scope cases</t>
  </si>
  <si>
    <t xml:space="preserve">EVIDENCE POLICY: M4 required a screenshot for every failure and every defect ("evidence or it didn't happen", CLAUDE.md §8; M4 brief Rule 3). Passing cases with no defect did not need one. 6 of 186 cases cite screenshot files: both Fails (TC_ADM_NAV_004, TC_ADM_JOB_004), three defect cases whose own assertions passed (TC_ADM_NAT_010 / BUG-001, TC_ADM_BRD_001 / BUG-002, TC_ADM_CFG_001 / BUG-006), and TC_ADM_BRD_005 (colour-picker validation). Exception: TC_ADM_JOB_013 surfaced BUG-005 but no screenshot was taken, disclosed on the BUG-005 card. The two Blocked cases have none because nothing could be observed. Every other row states "Not required". deliverables/04-execution/evidence/ also holds 8 files no accepted result cites: 6 from the discarded first Branding/Configuration batch (timestamped 00:27–00:32 on 2026-09-24; that batch was not credited), 1 from the aborted concurrent attempt (STOPCONDITION-B1-shared-browser-session.png), and 1 extra shot from the accepted TC_ADM_BRD_005 run (TC_ADM_BRD_005-colorpicker-invalid.png). They are not attached to any row here.
Status, Actual result, Bug id and Evidence come from the M4 report (deliverables/04-execution/agent_execution_report.html). Bug id lists every bug whose M4 card names the case. Steps and Expected come from the current test_design.csv; "Expected corrected after M4?" shows which 10 Expected cells changed after M4 and why, verified by diffing against a post-M4 snapshot of the Wave 1 rows (2026-09-24) and against git history. No snapshot exists for non-Wave-1 rows between M4 and the first commit (2026-09-25); none of them carries a correction marker.</t>
  </si>
  <si>
    <t>TC_ID</t>
  </si>
  <si>
    <t>Story_ID</t>
  </si>
  <si>
    <t>Sub_Module</t>
  </si>
  <si>
    <t>Title</t>
  </si>
  <si>
    <t>Priority</t>
  </si>
  <si>
    <t>Type</t>
  </si>
  <si>
    <t>Steps</t>
  </si>
  <si>
    <t>Expected</t>
  </si>
  <si>
    <t>Expected corrected after M4?</t>
  </si>
  <si>
    <t>Actual result</t>
  </si>
  <si>
    <t>Status (Pass/Fail/Blocked)</t>
  </si>
  <si>
    <t>Bug id</t>
  </si>
  <si>
    <t>Evidence file</t>
  </si>
  <si>
    <t>TC_ADM_NAV_001</t>
  </si>
  <si>
    <t>US-00-01</t>
  </si>
  <si>
    <t>Login</t>
  </si>
  <si>
    <t>Successful login routes to Dashboard</t>
  </si>
  <si>
    <t>P0</t>
  </si>
  <si>
    <t>Functional</t>
  </si>
  <si>
    <t xml:space="preserve">1. Enter username "Admin"
2. Enter password "admin123"
3. Click "Login"</t>
  </si>
  <si>
    <t>User is routed to the Dashboard; the top bar shows the logged-in user's name.</t>
  </si>
  <si>
    <t>No</t>
  </si>
  <si>
    <t>Logged out via topbar dropdown first to establish a genuinely unauthenticated state, then entered Admin/admin123 and clicked Login. Routed to `/web/index.php/dashboard/index`; topbar shows "manda user" (the account's linked employee display name — expected per environment note).</t>
  </si>
  <si>
    <t>Pass</t>
  </si>
  <si>
    <t/>
  </si>
  <si>
    <t>Not required: the case passed and raised no defect. M4 required screenshots only where a failure or defect needed evidence (6 of 186 cases have files).</t>
  </si>
  <si>
    <t>TC_ADM_NAV_002</t>
  </si>
  <si>
    <t>Invalid credentials rejected without leaking which field is wrong (Admin/wrongPass)</t>
  </si>
  <si>
    <t>Negative</t>
  </si>
  <si>
    <t xml:space="preserve">1. Enter username "Admin"
2. Enter password "wrongPass"
3. Click "Login"</t>
  </si>
  <si>
    <t>Alert "Invalid credentials" is displayed; user remains on the login page.</t>
  </si>
  <si>
    <t>Entered Admin/wrongPass, clicked Login. Alert box appeared with text "Invalid credentials" (verbatim); remained on `/web/index.php/auth/login`.</t>
  </si>
  <si>
    <t>TC_ADM_NAV_003</t>
  </si>
  <si>
    <t>Invalid credentials rejected without leaking which field is wrong (ghost/admin123)</t>
  </si>
  <si>
    <t xml:space="preserve">1. Enter username "ghost"
2. Enter password "admin123"
3. Click "Login"</t>
  </si>
  <si>
    <t>Entered ghost/admin123, clicked Login. Alert "Invalid credentials" (verbatim) shown; remained on login page.</t>
  </si>
  <si>
    <t>TC_ADM_NAV_004</t>
  </si>
  <si>
    <t>Invalid credentials rejected without leaking which field is wrong (ADMIN/admin123) — KNOWN DEFECT: BUG-003</t>
  </si>
  <si>
    <t xml:space="preserve">1. Enter username "ADMIN"
2. Enter password "admin123"
3. Click "Login"</t>
  </si>
  <si>
    <t>ACTUAL (defective) product behaviour, per exploration.md §5 Bug Register (BUG-003, reproduced 1/1, deterministic case-insensitive DB lookup): no "Invalid credentials" alert is shown; the browser navigates to /web/index.php/dashboard/index, fully authenticated as the Admin account, despite the username case mismatch. This is the product's ACTUAL behaviour, not the desired exact-match-rejection behaviour — DO NOT assert "Invalid credentials" here. M5 asserts this directly (not test.fixme()), same treatment as TC_ADM_NAT_010/BUG-001 and TC_ADM_BRD_001/BUG-002.</t>
  </si>
  <si>
    <t>Yes: BUG-003. Rewritten on 2026-09-26 to assert the actual (defective) behaviour when the case moved to Wave 1 (commit c81f972). M4 ran it against "Invalid credentials".</t>
  </si>
  <si>
    <t>Entered ADMIN/admin123 (uppercase username), clicked Login. Expected: rejected with "Invalid credentials", remain on login page. Actual: login **succeeded** — routed to `/web/index.php/dashboard/index`, topbar shows "manda user". See **NEWBUG-B1R-1**.</t>
  </si>
  <si>
    <t>Fail</t>
  </si>
  <si>
    <t>BUG-003</t>
  </si>
  <si>
    <t>TC_ADM_NAV_004-uppercase-username-login-succeeds.png</t>
  </si>
  <si>
    <t>TC_ADM_NAV_005</t>
  </si>
  <si>
    <t>Required-field validation — Username left empty</t>
  </si>
  <si>
    <t>P1</t>
  </si>
  <si>
    <t>Validation</t>
  </si>
  <si>
    <t xml:space="preserve">1. Leave "Username" empty
2. Fill the other field
3. Submit</t>
  </si>
  <si>
    <t>Message "Required" is shown under "Username".</t>
  </si>
  <si>
    <t>Left Username empty, filled Password=admin123, clicked Login. Field-adjacent message "Required" (verbatim) appeared under Username.</t>
  </si>
  <si>
    <t>TC_ADM_NAV_006</t>
  </si>
  <si>
    <t>Required-field validation — Password left empty</t>
  </si>
  <si>
    <t xml:space="preserve">1. Leave "Password" empty
2. Fill the other field
3. Submit</t>
  </si>
  <si>
    <t>Message "Required" is shown under "Password".</t>
  </si>
  <si>
    <t>Filled Username=Admin, left Password empty, clicked Login. Field-adjacent message "Required" (verbatim) appeared under Password.</t>
  </si>
  <si>
    <t>TC_ADM_NAV_007</t>
  </si>
  <si>
    <t>Deep link while unauthenticated redirects to login</t>
  </si>
  <si>
    <t>1. Navigate directly to "/web/index.php/admin/viewSystemUsers"</t>
  </si>
  <si>
    <t>User is redirected to the login page.</t>
  </si>
  <si>
    <t>While unauthenticated, navigated directly to `/web/index.php/admin/viewSystemUsers`. Browser was redirected to `/web/index.php/auth/login`. Re-verified independently in this batch per instructions (not inherited from any prior run's provisional result).</t>
  </si>
  <si>
    <t>TC_ADM_NAV_008</t>
  </si>
  <si>
    <t>US-00-02</t>
  </si>
  <si>
    <t>Admin sidebar</t>
  </si>
  <si>
    <t>Admin top-tab "User Management" navigates to "System Users"</t>
  </si>
  <si>
    <t>P2</t>
  </si>
  <si>
    <t>Navigation</t>
  </si>
  <si>
    <t>1. Open the "User Management" tab</t>
  </si>
  <si>
    <t>"System Users" screen is displayed; breadcrumb reads two segments, "Admin" / "User Management" (verbatim, live-observed 2026-09-25 — not a single "Admin" segment as originally written).</t>
  </si>
  <si>
    <t>Yes: M5 live observation (2026-09-25). The breadcrumb has two segments, "Admin" / "User Management". Source: 05-automation/PROGRESS.md, NAV entry.</t>
  </si>
  <si>
    <t>Logged in as Admin/admin123; landed on Admin &gt; User Management by default. Heading "System Users" displayed; breadcrumb reads "Admin" / "/ User Management".</t>
  </si>
  <si>
    <t>TC_ADM_NAV_009</t>
  </si>
  <si>
    <t>Admin top-tab "Job" navigates to "Job Titles"</t>
  </si>
  <si>
    <t>1. Open the "Job" tab</t>
  </si>
  <si>
    <t>"Job Titles" screen is displayed; breadcrumb reads "Admin".</t>
  </si>
  <si>
    <t>Opened "Job" tab, clicked "Job Titles" submenu item. URL `/admin/viewJobTitleList`; heading "Job Titles" displayed; breadcrumb "Admin" / "/ Job".</t>
  </si>
  <si>
    <t>TC_ADM_NAV_010</t>
  </si>
  <si>
    <t>Admin top-tab "Organization" navigates to "General Information"</t>
  </si>
  <si>
    <t>1. Open the "Organization" tab</t>
  </si>
  <si>
    <t>"General Information" screen is displayed; breadcrumb reads "Admin".</t>
  </si>
  <si>
    <t>Opened "Organization" tab, clicked "General Information". URL `/admin/viewOrganizationGeneralInformation`; heading "General Information"; breadcrumb "Admin" / "/ Organization".</t>
  </si>
  <si>
    <t>TC_ADM_NAV_011</t>
  </si>
  <si>
    <t>Admin top-tab "Qualifications" navigates to "Skills"</t>
  </si>
  <si>
    <t>1. Open the "Qualifications" tab</t>
  </si>
  <si>
    <t>"Skills" screen is displayed; breadcrumb reads "Admin".</t>
  </si>
  <si>
    <t>Opened "Qualifications" tab, clicked "Skills". URL `/admin/viewSkills`; heading "Skills" ((21) Records Found); breadcrumb "Admin" / "/ Qualifications".</t>
  </si>
  <si>
    <t>TC_ADM_NAV_012</t>
  </si>
  <si>
    <t>Admin top-tab "Nationalities" navigates to "Nationalities"</t>
  </si>
  <si>
    <t>1. Open the "Nationalities" tab</t>
  </si>
  <si>
    <t>"Nationalities" screen is displayed; breadcrumb reads "Admin".</t>
  </si>
  <si>
    <t>Clicked "Nationalities" top-tab link directly. URL `/admin/nationality`; heading "Nationalities" ((193) Records Found). Breadcrumb showed only a single heading "Admin", with **no** "/ Nationalities" second-level crumb (unlike every submenu-based tab tested, which showed "Admin" + "/ &lt;Tab&gt;"). Expected result only requires "breadcrumb reads Admin", which is literally satisfied, so marked Pass — logged as **OQ-B1R-1**.</t>
  </si>
  <si>
    <t>TC_ADM_NAV_013</t>
  </si>
  <si>
    <t>Admin top-tab "Corporate Branding" navigates to "Corporate Branding"</t>
  </si>
  <si>
    <t>1. Open the "Corporate Branding" tab</t>
  </si>
  <si>
    <t>"Corporate Branding" screen is displayed; breadcrumb reads "Admin".</t>
  </si>
  <si>
    <t>Clicked "Corporate Branding" top-tab link directly. URL `/admin/addTheme`; heading "Corporate Branding" displayed; breadcrumb single heading "Admin" only (same no-sub-crumb pattern as Nationalities — both are direct top-tab links rather than tabs-with-submenus).</t>
  </si>
  <si>
    <t>TC_ADM_NAV_014</t>
  </si>
  <si>
    <t>Admin top-tab "Configuration" navigates to "Email Configuration"</t>
  </si>
  <si>
    <t>1. Open the "Configuration" tab</t>
  </si>
  <si>
    <t>"Email Configuration" screen is displayed; breadcrumb reads "Admin".</t>
  </si>
  <si>
    <t>Opened "Configuration" tab, clicked "Email Configuration". URL `/admin/listMailConfiguration`; page shows "Email Configuration" label; breadcrumb "Admin" / "/ Configuration".</t>
  </si>
  <si>
    <t>TC_ADM_NAV_015</t>
  </si>
  <si>
    <t>US-00-03</t>
  </si>
  <si>
    <t>Session</t>
  </si>
  <si>
    <t>Logout invalidates the session</t>
  </si>
  <si>
    <t xml:space="preserve">1. Open the top-bar user dropdown
2. Click "Logout"</t>
  </si>
  <si>
    <t>User is returned to the login page; session is invalidated.</t>
  </si>
  <si>
    <t>Opened topbar "manda user" dropdown, clicked "Logout". Redirected to `/web/index.php/auth/login`.</t>
  </si>
  <si>
    <t>TC_ADM_NAV_016</t>
  </si>
  <si>
    <t>Back-navigation after logout does not expose authenticated screens</t>
  </si>
  <si>
    <t>1. Use the browser Back button to return to a previously-visited authenticated Admin URL</t>
  </si>
  <si>
    <t>The authenticated screen is not exposed; user is redirected to the login page.</t>
  </si>
  <si>
    <t>Immediately after logout (previous case), pressed browser Back. The navigation event momentarily reported the prior authenticated URL (`/admin/listMailConfiguration`), but the rendered page (confirmed via a follow-up snapshot) was the Login form at `/web/index.php/auth/login` — the authenticated screen was not exposed.</t>
  </si>
  <si>
    <t>TC_ADM_USR_001</t>
  </si>
  <si>
    <t>US-01-02</t>
  </si>
  <si>
    <t>User Management &gt; Users</t>
  </si>
  <si>
    <t>Add a valid ESS user</t>
  </si>
  <si>
    <t xml:space="preserve">1. Click "Add"
2. Select User Role "ESS"
3. Type a letter into Employee Name and select a suggested employee
4. Select Status "Enabled"
5. Enter Username "e2e_user_&lt;unique&gt;"
6. Enter Password "Passw0rd!2025" and the same Confirm Password
7. Click "Save"</t>
  </si>
  <si>
    <t>Success toast "Successfully Saved" is displayed; the new user appears in the search results.</t>
  </si>
  <si>
    <t>Logged in, on System Users. Clicked "Add". Selected User Role "ESS". Typed "man" into Employee Name, waited for the debounced suggestion dropdown (options "Ova Stiedemann", "manda akhil user"), selected "manda akhil user". Selected Status "Enabled". Entered Username `e2e_m4b1r_user_1790182028`. Entered Password/Confirm Password `Passw0rd!2025`. Clicked Save. Toast appeared: title "Success", message "Successfully Saved" (verbatim, `.oxd-toast-content--success`). Searched Username = the new username afterward; exactly "(1) Record Found" matching it.</t>
  </si>
  <si>
    <t>TC_ADM_USR_002</t>
  </si>
  <si>
    <t>Username uniqueness is enforced</t>
  </si>
  <si>
    <t xml:space="preserve">1. Click "Add"
2. Complete all mandatory fields, entering Username "e2e_dup_&lt;unique&gt;" (already in use)
3. Click "Save"</t>
  </si>
  <si>
    <t>Field error "Already exists" is shown under Username (verbatim, exploration.md §2.1); no success toast is displayed; no record is created.</t>
  </si>
  <si>
    <t>Reused the just-created `e2e_m4b1r_user_1790182028` as the pre-existing record (satisfies "a system user already exists" precondition without creating an extra throwaway record). Clicked Add, filled all mandatory fields (User Role ESS, Employee Name "manda akhil user", Status Enabled), entered Username `e2e_m4b1r_user_1790182028` (duplicate), Password/Confirm `Passw0rd!2025`. Clicked Save. Field-level error "Already exists" (verbatim) appeared under Username; no success toast; cancelled the form afterward (no second record created).</t>
  </si>
  <si>
    <t>TC_ADM_USR_003</t>
  </si>
  <si>
    <t>Mandatory field blocks submission — User Role empty</t>
  </si>
  <si>
    <t xml:space="preserve">1. Leave "User Role" empty
2. Complete the remaining mandatory fields
3. Click "Save"</t>
  </si>
  <si>
    <t>"Required" is displayed under "User Role" (verbatim, exploration.md §2.1, FIND-001); the record is not created.</t>
  </si>
  <si>
    <t>On Add User form, left User Role at "-- Select --" (empty), filled Employee Name (autocomplete-selected "manda akhil user"), Status=Enabled, Username=`e2e_m4b1r_req_1790182028`, Password/Confirm=`Passw0rd!2025`. Clicked Save. "Required" (verbatim) displayed under User Role; no toast; no record created.</t>
  </si>
  <si>
    <t>TC_ADM_USR_004</t>
  </si>
  <si>
    <t>Mandatory field blocks submission — Employee Name empty</t>
  </si>
  <si>
    <t xml:space="preserve">1. Leave "Employee Name" empty
2. Complete the remaining mandatory fields
3. Click "Save"</t>
  </si>
  <si>
    <t>"Required" is displayed under "Employee Name" (verbatim, exploration.md §2.1, FIND-001); the record is not created.</t>
  </si>
  <si>
    <t>Set User Role=ESS, cleared Employee Name (Ctrl+A/Delete), kept Status=Enabled, changed Username to `e2e_m4b1r_req2_1790182028`. Clicked Save. "Required" (verbatim) displayed under Employee Name; no toast; no record created.</t>
  </si>
  <si>
    <t>TC_ADM_USR_005</t>
  </si>
  <si>
    <t>Mandatory field blocks submission — Status empty</t>
  </si>
  <si>
    <t xml:space="preserve">1. Leave "Status" empty
2. Complete the remaining mandatory fields
3. Click "Save"</t>
  </si>
  <si>
    <t>"Required" is displayed under "Status" (verbatim, exploration.md §2.1, FIND-001); the record is not created.</t>
  </si>
  <si>
    <t>Re-selected Employee Name "manda akhil user", reset Status back to "-- Select --", changed Username to `e2e_m4b1r_req3_1790182028`. Clicked Save. "Required" (verbatim) displayed under Status; no toast; no record created.</t>
  </si>
  <si>
    <t>TC_ADM_USR_006</t>
  </si>
  <si>
    <t>Mandatory field blocks submission — Username empty</t>
  </si>
  <si>
    <t xml:space="preserve">1. Leave "Username" empty
2. Complete the remaining mandatory fields
3. Click "Save"</t>
  </si>
  <si>
    <t>"Required" is displayed under "Username" (verbatim, exploration.md §2.1, FIND-001); the record is not created.</t>
  </si>
  <si>
    <t>Set Status=Enabled, cleared Username field entirely. Clicked Save. "Required" (verbatim) displayed under Username; no toast.</t>
  </si>
  <si>
    <t>TC_ADM_USR_007</t>
  </si>
  <si>
    <t>Mandatory field blocks submission — Password empty</t>
  </si>
  <si>
    <t xml:space="preserve">1. Leave "Password" empty
2. Complete the remaining mandatory fields
3. Click "Save"</t>
  </si>
  <si>
    <t>"Required" is displayed under "Password" (verbatim, exploration.md §2.1, FIND-001); the record is not created.</t>
  </si>
  <si>
    <t>Set Username=`e2e_m4b1r_req4_1790182028`, cleared Password field only (Confirm Password retained its prior value). Clicked Save. "Required" (verbatim) displayed under Password (Confirm Password separately showed "Passwords do not match" since it held a stale value against an empty Password — consistent with FIND-001's documented inconsistency, not a new defect); no toast; no record created.</t>
  </si>
  <si>
    <t>TC_ADM_USR_008</t>
  </si>
  <si>
    <t>Employee Name must be chosen from the hint list</t>
  </si>
  <si>
    <t xml:space="preserve">1. Type "zzznonexistentxyz" into Employee Name (no match)
2. Click "Save"</t>
  </si>
  <si>
    <t>Field error "Invalid" is shown under Employee Name (verbatim, exploration.md §2.1); the dropdown shows a single disabled "No Records Found" option while typing.</t>
  </si>
  <si>
    <t>On a fresh Add User form, typed "zzznonexistentxyz" into Employee Name. Dropdown showed a single disabled option "No Records Found" (verbatim) while typing. Clicked Save without picking a suggestion. Field-level error "Invalid" (verbatim) displayed under Employee Name; no toast.</t>
  </si>
  <si>
    <t>TC_ADM_USR_009</t>
  </si>
  <si>
    <t>US-01-06</t>
  </si>
  <si>
    <t>Password policy feedback for "abc"</t>
  </si>
  <si>
    <t>Boundary</t>
  </si>
  <si>
    <t>1. Enter Password "abc"</t>
  </si>
  <si>
    <t>Exact validation message "Should have at least 7 characters" is displayed (verbatim, exploration.md §2.1, build 5.9, corrected M2 per FIND-002).</t>
  </si>
  <si>
    <t>Filled User Role=ESS, Employee Name="manda akhil user", Status=Enabled, Username=`e2e_m4b1r_pw1_1790182028`, then entered Password "abc" and blurred the field. Exact validation message "Should have at least 7 characters" (verbatim) displayed immediately, live (no Save needed).</t>
  </si>
  <si>
    <t>TC_ADM_USR_010</t>
  </si>
  <si>
    <t>Password policy feedback for "Password"</t>
  </si>
  <si>
    <t>1. Enter Password "Password"</t>
  </si>
  <si>
    <t>Exact validation message "Your password must contain minimum 1 number" is displayed (verbatim, exploration.md §2.1, build 5.9, corrected M2 per FIND-002).</t>
  </si>
  <si>
    <t>On the same form, cleared and re-entered Password as "Password". Exact validation message "Your password must contain minimum 1 number" (verbatim) displayed live.</t>
  </si>
  <si>
    <t>TC_ADM_USR_011</t>
  </si>
  <si>
    <t>No upper-case requirement exists on this build</t>
  </si>
  <si>
    <t>Regression</t>
  </si>
  <si>
    <t>1. Enter Password "alllowercase1" (13 lower-case letters + 1 digit, no upper-case)</t>
  </si>
  <si>
    <t>Strength meter shows "Strong"; no validation message is displayed (verbatim, exploration.md §2.1, FIND-002 — corrects prd.md/spec.md's previously-assumed upper-case requirement, which does not exist on build 5.9).</t>
  </si>
  <si>
    <t>Cleared and re-entered Password as "alllowercase1" (13 lower-case + 1 digit, no upper-case). Strength meter showed "Strong"; no validation message appeared anywhere near the field. Confirms FIND-002 from exploration.md — no upper-case requirement exists on this build.</t>
  </si>
  <si>
    <t>TC_ADM_USR_012</t>
  </si>
  <si>
    <t>Confirm Password mismatch is rejected</t>
  </si>
  <si>
    <t xml:space="preserve">1. Enter Password "Passw0rd!2025"
2. Enter Confirm Password "Passw0rd!2026"
3. Click "Save"</t>
  </si>
  <si>
    <t>"Passwords do not match" is displayed (per shared-component pattern also seen for the empty-Confirm-Password case, exploration.md §2.1/FIND-001).</t>
  </si>
  <si>
    <t>Entered Password "Passw0rd!2025", Confirm Password "Passw0rd!2026" (mismatch), clicked Save. Message "Passwords do not match" (verbatim) displayed under Confirm Password; no toast; no record created. Cancelled form afterward.</t>
  </si>
  <si>
    <t>TC_ADM_USR_013</t>
  </si>
  <si>
    <t>US-01-01</t>
  </si>
  <si>
    <t>Search filter "Username" = "Admin" returns a consistent result set</t>
  </si>
  <si>
    <t xml:space="preserve">1. Set filter "Username" to "Admin"
2. Click "Search"</t>
  </si>
  <si>
    <t>Every result row satisfies the filter; the "(N) Record(s) Found" header count matches the number of rows across all pages.</t>
  </si>
  <si>
    <t>On the unfiltered System Users list, set Username filter to "Admin", clicked Search. Result: "(1) Record Found" (singular), 1 row, Username="Admin" — satisfies the filter exactly. Header count matched the number of rendered rows.</t>
  </si>
  <si>
    <t>TC_ADM_USR_014</t>
  </si>
  <si>
    <t>Search filter "User Role" = "ESS" returns a consistent result set</t>
  </si>
  <si>
    <t xml:space="preserve">1. Set filter "User Role" to "ESS"
2. Click "Search"</t>
  </si>
  <si>
    <t>Reset filters, then set User Role filter to "ESS", clicked Search. Result: "(5) Records Found"; every one of the 5 rendered rows had User Role = "ESS" (verified by inspecting each row); this matched the count of ESS rows independently visible in the unfiltered list moments before.</t>
  </si>
  <si>
    <t>TC_ADM_USR_015</t>
  </si>
  <si>
    <t>Search filter "Status" = "Enabled" returns a consistent result set</t>
  </si>
  <si>
    <t xml:space="preserve">1. Set filter "Status" to "Enabled"
2. Click "Search"</t>
  </si>
  <si>
    <t>Reset filters, then set Status filter to "Enabled", clicked Search. Result: "(10) Records Found"; confirmed via an on-page text search that no "Disabled" value appeared anywhere in the results — all 10 rows were Enabled, matching the pre-filter count of Enabled rows.</t>
  </si>
  <si>
    <t>TC_ADM_USR_016</t>
  </si>
  <si>
    <t>Search with no match shows the empty state</t>
  </si>
  <si>
    <t xml:space="preserve">1. Set Username filter to "e2e_nonexistent_&lt;unique&gt;"
2. Click "Search"</t>
  </si>
  <si>
    <t>"No Records Found" is displayed (verbatim, exploration.md §2.1); the results table body contains zero rows.</t>
  </si>
  <si>
    <t>Reset filters, set Username filter to `e2e_m4b1r_nonexistent_1790182028`, clicked Search. "No Records Found" (verbatim) displayed in the results panel; the same text also surfaced as an info toast ("Info" / "No Records Found") — an additional UI behavior beyond the CSV's stated expectation, noted but not a defect since the CSV only requires the panel-level empty state, which was present. Results table body contained zero data rows.</t>
  </si>
  <si>
    <t>TC_ADM_USR_017</t>
  </si>
  <si>
    <t>Reset clears all filters</t>
  </si>
  <si>
    <t>1. Click "Reset"</t>
  </si>
  <si>
    <t>All filter fields return to their default values; the unfiltered result set is restored.</t>
  </si>
  <si>
    <t>Applied a Username filter ("nonexistent" value from USR_016, still present) and a User Role filter ("Admin"), confirmed the combination was applied, then clicked "Reset". All filter fields (Username, User Role, Employee Name, Status) returned to their default empty/"-- Select --" state; the full unfiltered list was restored — record count matched the pre-filter unfiltered count observed moments earlier (12).</t>
  </si>
  <si>
    <t>TC_ADM_USR_018</t>
  </si>
  <si>
    <t>US-01-03</t>
  </si>
  <si>
    <t>Edit a system user's role</t>
  </si>
  <si>
    <t xml:space="preserve">1. Open the user for edit
2. Change User Role to "Admin"
3. Click "Save"</t>
  </si>
  <si>
    <t>Success toast "Successfully Updated" is displayed (verbatim, live-observed 2026-09-25 — the edit-save flow's toast reads "Successfully Updated", distinct from the Add flow's "Successfully Saved"); the list shows "Admin" for that user.</t>
  </si>
  <si>
    <t>Yes: M5 live observation (2026-09-25). The edit flow's toast reads "Successfully Updated", not "Successfully Saved". Source: 05-automation/PROGRESS.md, USR entry, finding 8.</t>
  </si>
  <si>
    <t>Precondition: created `e2e_m4b1r_edit_1790182028` with role ESS (toast "Successfully Saved" confirmed at creation). Searched for it, opened it for edit (clicked the row's second/edit action icon — confirmed by landing on the "Edit User" heading), changed User Role from ESS to Admin, clicked Save. Was routed back to the list; re-checked the row and User Role now reads "Admin". The success toast itself auto-dismissed before my next check (classic CLAUDE.md §5.2 toast race — my `browser_find` call for the toast text landed just after it had cleared); the *outcome* (role change persisted) is independently confirmed via the list, so this is recorded as Pass with the toast-capture gap noted rather than fabricated as directly observed.</t>
  </si>
  <si>
    <t>TC_ADM_USR_019</t>
  </si>
  <si>
    <t>Password is optional on edit</t>
  </si>
  <si>
    <t>UI/UX</t>
  </si>
  <si>
    <t xml:space="preserve">1. Open the user for edit
2. Observe the Password/Confirm Password fields</t>
  </si>
  <si>
    <t>Password fields are hidden until "Change Password" is switched on.</t>
  </si>
  <si>
    <t>Re-opened `e2e_m4b1r_edit_1790182028` (now Admin role) for edit. Password and Confirm Password fields were absent from the form; a "Change Password ?" toggle (checkbox labelled "Yes") was present and unchecked by default. Clicked the toggle — it became checked, and the Password*/Confirm Password* fields immediately appeared. Clicked Cancel afterward without saving, to avoid an unintended edit.</t>
  </si>
  <si>
    <t>TC_ADM_USR_020</t>
  </si>
  <si>
    <t>US-01-04</t>
  </si>
  <si>
    <t>Delete a single user with confirmation</t>
  </si>
  <si>
    <t xml:space="preserve">1. Click the row's delete (trash) icon — note: DOM order is delete-icon-first, edit-icon-second (FIND-004)
2. Confirm with "Yes, Delete"</t>
  </si>
  <si>
    <t>A confirmation dialog "Are you Sure?" / "The selected record will be permanently deleted. Are you sure you want to continue?" with buttons "No, Cancel" / "Yes, Delete" (verbatim, exploration.md §2.1) appears before deletion; after confirming, a success toast reading "Successfully Deleted" (verbatim, observed live in M5 on 2026-09-26, exploration.md Addendum A; M2 did not capture delete-toast wording) is displayed and the user no longer appears in search results.</t>
  </si>
  <si>
    <t>Yes: M5 live observation (2026-09-26). Delete toast wording "Successfully Deleted" added. Source: exploration.md Addendum A.</t>
  </si>
  <si>
    <t>Precondition: created `e2e_m4b1r_del_1790182028` (toast "Successfully Saved" directly observed this time via full snapshot). Searched for it, clicked the row's first action icon. Dialog appeared: heading "Are you Sure?", body "The selected record will be permanently deleted. Are you sure you want to continue?", buttons "No, Cancel" / "Yes, Delete" (all verbatim). Clicked "Yes, Delete". Toast "Success" / "Successfully Deleted" (verbatim) appeared; re-searching the username immediately afterward returned "No Records Found".</t>
  </si>
  <si>
    <t>TC_ADM_USR_021</t>
  </si>
  <si>
    <t>Cancelling the delete dialog preserves the record</t>
  </si>
  <si>
    <t xml:space="preserve">1. Open the delete dialog
2. Click "No, Cancel"</t>
  </si>
  <si>
    <t>The dialog closes; the record still exists in the list.</t>
  </si>
  <si>
    <t>Precondition: created `e2e_m4b1r_cancel_del_1790182028` (toast "Successfully Saved" confirmed). Searched for it, clicked its delete icon, dialog appeared (identical text to USR_020), clicked "No, Cancel". Dialog closed; re-checked the list — the record still appeared, unchanged.</t>
  </si>
  <si>
    <t>TC_ADM_USR_022</t>
  </si>
  <si>
    <t>Bulk delete via header checkbox</t>
  </si>
  <si>
    <t xml:space="preserve">1. Navigate to the unfiltered System Users list
2. Walk pagination pages (if any) until the page containing both owned users is found
3. Select both rows via their row checkboxes (click the .oxd-checkbox-wrapper label, not the raw input)
4. Click "Delete Selected"
5. Confirm the dialog
6. Verify each specific username individually via its own exact-match search — never an unfiltered total-record-count delta, which is vulnerable to concurrent real users on this shared demo</t>
  </si>
  <si>
    <t>Header bar shows "(2) Records Selected"; the confirm dialog uses the identical singular wording as single-delete (FIND-003, not pluralised); after confirming, a single success toast reading "Successfully Deleted" (verbatim, observed live in M5 on 2026-09-26, exploration.md Addendum A; M2 did not capture delete-toast wording), identical to single delete, is displayed, and each of the two specifically-created users is individually confirmed absent from the list via its own exact-match search (live-redesigned 2026-09-25 — the original "record count decreases by 2" assertion was dropped as unreliable on a shared demo where concurrent real users independently change the total count).</t>
  </si>
  <si>
    <t>Yes: M5 live observation. Username search is exact-match only, so the steps and expected were redesigned (2026-09-25, 05-automation/PROGRESS.md USR finding 7); delete toast wording added 2026-09-26 (exploration.md Addendum A). Test_Steps also changed.</t>
  </si>
  <si>
    <t>Precondition: created two users `e2e_m4b1r_bulk1_1790182028` and `e2e_m4b1r_bulk2_1790182028` (both ESS/Enabled/"manda akhil user"). Both rows were visible together on the single (non-paginated) System Users list page. Selected both rows' checkboxes via their `.oxd-checkbox-wrapper` labels (per CLAUDE.md §5.2 checkbox trap — clicking the wrapper `label`, not the raw hidden `input`). Header bar showed "(2) Records Selected" (verbatim). Clicked "Delete Selected". Confirm dialog showed the identical **singular**-wording body text used for single-record delete ("The selected record will be permanently deleted...") — confirms FIND-003, not pluralised even for 2 records. Confirmed with "Yes, Delete". Toast "Success" / "Successfully Deleted" appeared; record count dropped from 17 to 15 (exactly -2); both rows were gone from the subsequent list render.</t>
  </si>
  <si>
    <t>TC_ADM_USR_024</t>
  </si>
  <si>
    <t>Row action icons are ordered delete-then-edit (FIND-004 regression guard)</t>
  </si>
  <si>
    <t>1. Inspect the two action buttons in a row, in DOM order</t>
  </si>
  <si>
    <t>The first action button's icon class is "bi-trash" (Delete); the second is "bi-pencil-fill" (Edit) — verbatim DOM order confirmed exploration.md §2.1, FIND-004. A locator assuming "first = Edit" is incorrect.</t>
  </si>
  <si>
    <t>Inspected the first System Users row's two action buttons directly via `browser_evaluate` DOM inspection (querying each button's inner `&lt;i&gt;` element's `className`). Result: first button = `"oxd-icon bi-trash"` (Delete), second button = `"oxd-icon bi-pencil-fill"` (Edit) — DOM order is delete-then-edit, exactly confirming FIND-004. This was also independently, repeatedly confirmed behaviorally throughout the run: every "first action button" click in this session opened a delete-confirmation dialog, and every "second action button" click opened the Edit User form, with zero exceptions across ~5 separate rows/records.</t>
  </si>
  <si>
    <t>TC_ADM_USR_025</t>
  </si>
  <si>
    <t>Username boundary length (51 characters)</t>
  </si>
  <si>
    <t xml:space="preserve">1. Click "Add"
2. Complete the other mandatory fields
3. Enter a 51-character Username
4. Click "Save"</t>
  </si>
  <si>
    <t>The input is truncated at its maximum, or an explicit length error is displayed (exact outcome not yet resolved).</t>
  </si>
  <si>
    <t>On a fresh Add User form, filled User Role=ESS, Employee Name="manda akhil user", Status=Enabled, Password/Confirm=`Passw0rd!2025`, then entered a 51-character Username (`e2e_m4b1r_51c_` + 37×`x`, verified 51 chars via `browser_evaluate` on the live input value/length). The input **accepted and retained all 51 characters** with no client-side truncation (`input.maxLength` reported `-1`, i.e. no `maxlength` attribute). Clicked Save. Server-side validation returned the exact message **"Should not exceed 40 characters"** (verbatim) under Username; no toast; no record created. This **resolves** the previously-open ambiguity (CSV's Expected_Result offered "truncated, or an explicit length error — outcome not yet resolved"): the real behavior is an **explicit length error at 40 characters**, not truncation.</t>
  </si>
  <si>
    <t>TC_ADM_JOB_001</t>
  </si>
  <si>
    <t>US-02-01</t>
  </si>
  <si>
    <t>Job Titles</t>
  </si>
  <si>
    <t>Create a Job Titles record</t>
  </si>
  <si>
    <t xml:space="preserve">1. Click "Add"
2. Complete "Job Title" (and any other mandatory fields) with a unique value
3. Click "Save"</t>
  </si>
  <si>
    <t>Success toast "Successfully Saved" is displayed (verbatim toast pattern confirmed across full-battery screens, exploration.md §2.1/§2.2/§2.4/§2.5); the record appears in the list.</t>
  </si>
  <si>
    <t>Filled Job Title = `e2e_m4b2r_jobtitle_20260923`, clicked Save. Toast "Successfully Saved" appeared. Navigated back to list: record present, count went 28 -&gt; 29.</t>
  </si>
  <si>
    <t>TC_ADM_JOB_002</t>
  </si>
  <si>
    <t>Mandatory validation — Job Title empty</t>
  </si>
  <si>
    <t xml:space="preserve">1. Leave "Job Title" empty
2. Click "Save"</t>
  </si>
  <si>
    <t>"Required" is displayed under the field (verbatim pattern confirmed on Users/Job Titles/Skills/Nationalities, exploration.md §2); no record is created.</t>
  </si>
  <si>
    <t>Clicked Add, left Job Title empty, clicked Save. Field label area showed `Required` under Job Title textbox. No navigation occurred (still on Add form).</t>
  </si>
  <si>
    <t>TC_ADM_JOB_003</t>
  </si>
  <si>
    <t>Duplicate Job Title is rejected</t>
  </si>
  <si>
    <t xml:space="preserve">1. Click "Add"
2. Enter "Job Title" matching an existing record
3. Click "Save"</t>
  </si>
  <si>
    <t>Not directly exercised on this screen during M2.</t>
  </si>
  <si>
    <t>On same Add form, typed Job Title = `Account Assistant` (existing record), clicked Save. Textbox showed inline error `Already exists` (verbatim). No record created, stayed on Add form.</t>
  </si>
  <si>
    <t>TC_ADM_JOB_004</t>
  </si>
  <si>
    <t>Job Title boundary length (51 characters)</t>
  </si>
  <si>
    <t xml:space="preserve">1. Click "Add"
2. Enter a 51-character "Job Title"
3. Click "Save"</t>
  </si>
  <si>
    <t>The input is truncated at its maximum, or an explicit length error is displayed (exact outcome not yet resolved — see automation_reason).</t>
  </si>
  <si>
    <t>Entered a 51-character Job Title (`e2e_m4b2r_00000000000000000000000000000000000000000`), clicked Save. Toast `Successfully Saved` appeared (no truncation error, no length-validation error of any kind). Reloaded the list and located the record: full 51-character value persisted verbatim, byte-for-byte, not truncated. Neither hypothesized outcome (truncation or explicit length error) occurred.</t>
  </si>
  <si>
    <t>BUG-004</t>
  </si>
  <si>
    <t>TC_ADM_JOB_004-51char-no-truncation.png</t>
  </si>
  <si>
    <t>TC_ADM_JOB_006</t>
  </si>
  <si>
    <t>Edit an existing Job Titles record</t>
  </si>
  <si>
    <t xml:space="preserve">1. Open the record for edit
2. Change "Job Title"
3. Click "Save"</t>
  </si>
  <si>
    <t>Success toast is displayed; the list reflects the changed value.</t>
  </si>
  <si>
    <t>Opened record `e2e_m4b2r_jobtitle_20260923` (id 76) for edit via pencil icon, changed Job Title to `e2e_m4b2r_jobtitle_20260923_edited`, clicked Save. Toast `Successfully Updated` appeared. Reloaded list: new value present.</t>
  </si>
  <si>
    <t>TC_ADM_JOB_007</t>
  </si>
  <si>
    <t>Cancel discards changes on Job Titles</t>
  </si>
  <si>
    <t xml:space="preserve">1. Click "Add"
2. Fill "Job Title"
3. Click "Cancel"</t>
  </si>
  <si>
    <t>User returns to the list; no record is created (pattern confirmed on Users/Pay Grades, exploration.md §2.1/§2.2).</t>
  </si>
  <si>
    <t>Clicked Add, typed Job Title = `e2e_m4b2r_cancel_20260923`, clicked Cancel. Browser returned to the Job Titles list URL. Record count still `(30) Records Found` (unchanged) — no record created.</t>
  </si>
  <si>
    <t>TC_ADM_JOB_008</t>
  </si>
  <si>
    <t>Delete a Job Titles record with confirmation</t>
  </si>
  <si>
    <t xml:space="preserve">1. Click the record's delete icon
2. Confirm with "Yes, Delete"</t>
  </si>
  <si>
    <t>A confirmation dialog "Are you Sure?" / "The selected record will be permanently deleted. Are you sure you want to continue?" with buttons "No, Cancel" / "Yes, Delete" (verbatim, exploration.md §2.1) appears; after confirming, a success toast reading "Successfully Deleted" (verbatim, observed live in M5 on 2026-09-26, exploration.md Addendum A; M2 did not capture delete-toast wording) is displayed, the record is gone from the list and the record count decrements by 1.</t>
  </si>
  <si>
    <t>Clicked delete (trash) icon on `e2e_m4b2r_jobtitle_20260923_edited` row. Dialog appeared, verbatim: "Are you Sure?" / "The selected record will be permanently deleted. Are you sure you want to continue?" with "No, Cancel" / "Yes, Delete" buttons. Clicked "Yes, Delete". Toast "Successfully Deleted" appeared. Count went 30 -&gt; 29; record no longer in list.</t>
  </si>
  <si>
    <t>TC_ADM_JOB_009</t>
  </si>
  <si>
    <t>Cancelling delete preserves the Job Titles record</t>
  </si>
  <si>
    <t xml:space="preserve">1. Click the record's delete icon
2. Click "No, Cancel"</t>
  </si>
  <si>
    <t>Dialog closes; the record still exists (pattern confirmed on Users, exploration.md §2.1).</t>
  </si>
  <si>
    <t>Clicked delete (trash) icon on the 51-char record row (from TC_ADM_JOB_004), got same "Are you Sure?" dialog, clicked "No, Cancel". Dialog closed; count remained `(29) Records Found`; record still present in list afterward.</t>
  </si>
  <si>
    <t>TC_ADM_JOB_010</t>
  </si>
  <si>
    <t>Attach a Job Specification file within the 1MB limit</t>
  </si>
  <si>
    <t xml:space="preserve">1. Click "Add"
2. Enter Job Title "e2e_jobtitle_&lt;ts&gt;"
3. Attach a valid file under 1MB to Job Specification
4. Click "Save"</t>
  </si>
  <si>
    <t>N/A — not exercised in M2.</t>
  </si>
  <si>
    <t>Clicked Add, entered Job Title `e2e_m4b2r_jobtitle_attach_20260923`, attached a small (~80 byte) `.txt` file (`e2e_m4b2r_jobspec_valid.txt`, well under 1MB) to Job Specification, clicked Save. Toast `Successfully Saved`. Reopened the record for edit: Job Specification section now shows the attached filename `e2e_m4b2r_jobspec_valid.txt` plus three radios `Keep Current` / `Delete Current` / `Replace Current` (Keep Current pre-selected) — confirms the attachment persisted server-side.</t>
  </si>
  <si>
    <t>TC_ADM_JOB_011</t>
  </si>
  <si>
    <t>Attach an unsupported file type to Job Specification</t>
  </si>
  <si>
    <t xml:space="preserve">1. Attach a non-accepted file type to Job Specification
2. Click "Save"</t>
  </si>
  <si>
    <t>Clicked Add, entered Job Title `e2e_m4b2r_jobtitle_badfile_20260923`, attached an unsupported file type (`e2e_m4b2r_unsupported.exe`, plain text content, well under 1MB) to Job Specification. Inline error appeared immediately on file selection: `File type not allowed` (verbatim) under the field. Clicked Save anyway — form stayed on Add screen, error persisted, no record created (count stayed `(30)`).</t>
  </si>
  <si>
    <t>TC_ADM_JOB_012</t>
  </si>
  <si>
    <t>Replace an existing Job Specification attachment</t>
  </si>
  <si>
    <t>P3</t>
  </si>
  <si>
    <t xml:space="preserve">1. Open the record for edit
2. Attach a new file to Job Specification
3. Click "Save"</t>
  </si>
  <si>
    <t>Opened record id 78 (from TC_ADM_JOB_010) for edit. Selected radio `Replace Current` (had to click the label text — the underlying `&lt;input type=radio&gt;` is not directly clickable, consistent with CLAUDE.md §5.2's checkbox-trap note applying to radios too). A new "Upload Job Specification" file field appeared; uploaded `e2e_m4b2r_jobspec_replacement.txt`. Clicked Save. Toast `Successfully Updated`. Reopened the record: Job Specification now shows filename `e2e_m4b2r_jobspec_replacement.txt` (the old `e2e_m4b2r_jobspec_valid.txt` is gone).</t>
  </si>
  <si>
    <t>TC_ADM_JOB_013</t>
  </si>
  <si>
    <t>Delete an existing Job Specification attachment</t>
  </si>
  <si>
    <t xml:space="preserve">1. Open the record for edit
2. Remove the Job Specification attachment
3. Click "Save"</t>
  </si>
  <si>
    <t>On record id 78, selected radio `Delete Current`, clicked Save. Toast `Successfully Updated`. Navigating directly to `/admin/saveJobTitle/78` afterward produced a console 404 (`GET .../api/v2/admin/job-titles/78` -&gt; 404) and a blank Job Title field. Re-opened the record via the list's edit icon instead (not the stale URL): the record's Job Title (`e2e_m4b2r_jobtitle_attach_20260923`) was intact, but its underlying id had silently changed from 78 to 79; Job Specification correctly showed "No file selected" (no filename, no radios) — attachment removal itself worked correctly. List record count unchanged at `(30)`, no duplicate created.</t>
  </si>
  <si>
    <t>BUG-005</t>
  </si>
  <si>
    <t>None captured: BUG-005 was found during this passing case, but no screenshot was taken. The M4 report's BUG-005 card discloses this gap.</t>
  </si>
  <si>
    <t>TC_ADM_JOB_014</t>
  </si>
  <si>
    <t>US-02-02</t>
  </si>
  <si>
    <t>Pay Grades</t>
  </si>
  <si>
    <t>Create a Pay Grades record</t>
  </si>
  <si>
    <t xml:space="preserve">1. Click "Add"
2. Complete "Name" (and any other mandatory fields) with a unique value
3. Click "Save"</t>
  </si>
  <si>
    <t>Navigated to Pay Grades (`(10) Records Found` on entry — see Environment Notes). Clicked Add, entered Name `e2e_m4b2r_paygrade_20260923`, clicked Save. Page navigated to `/admin/payGrade/26` (Edit Pay Grade form, Name field pre-filled, Currencies sub-table "No Records Found") — toast had already auto-dismissed by the time of inspection, but the record's presence was independently confirmed via the list.</t>
  </si>
  <si>
    <t>TC_ADM_JOB_015</t>
  </si>
  <si>
    <t>Mandatory validation — Name empty</t>
  </si>
  <si>
    <t xml:space="preserve">1. Leave "Name" empty
2. Click "Save"</t>
  </si>
  <si>
    <t>Clicked Add, left Name empty, clicked Save. `Required` shown under Name. No navigation (stayed on Add form).</t>
  </si>
  <si>
    <t>TC_ADM_JOB_016</t>
  </si>
  <si>
    <t>Duplicate Name is rejected</t>
  </si>
  <si>
    <t xml:space="preserve">1. Click "Add"
2. Enter "Name" matching an existing record
3. Click "Save"</t>
  </si>
  <si>
    <t>On same Add form, typed Name = `Grade 1` (existing record), clicked Save. Inline error `Already exists` (verbatim). No record created.</t>
  </si>
  <si>
    <t>TC_ADM_JOB_017</t>
  </si>
  <si>
    <t>Name boundary length (51 characters)</t>
  </si>
  <si>
    <t xml:space="preserve">1. Click "Add"
2. Enter a 51-character "Name"
3. Click "Save"</t>
  </si>
  <si>
    <t>On same Add form, typed a 51-character Name (`e2e_m4b2r_00000000000000000000000000000000000000000`), clicked Save. Inline error `Should not exceed 50 characters` (verbatim) shown; Save blocked, no record created.</t>
  </si>
  <si>
    <t>TC_ADM_JOB_019</t>
  </si>
  <si>
    <t>Edit an existing Pay Grades record</t>
  </si>
  <si>
    <t xml:space="preserve">1. Open the record for edit
2. Change "Name"
3. Click "Save"</t>
  </si>
  <si>
    <t>Opened record id 26 for edit, changed Name to `e2e_m4b2r_paygrade_20260923_edited`, clicked Save. Toast `Successfully Updated`. Reloaded list: new value present.</t>
  </si>
  <si>
    <t>TC_ADM_JOB_020</t>
  </si>
  <si>
    <t>Cancel discards changes on Pay Grades</t>
  </si>
  <si>
    <t xml:space="preserve">1. Click "Add"
2. Fill "Name"
3. Click "Cancel"</t>
  </si>
  <si>
    <t>Clicked Add, typed Name = `e2e_m4b2r_cancel_paygrade_20260923`, clicked Cancel. Returned to Pay Grades list; that name is absent from the list — no record created.</t>
  </si>
  <si>
    <t>TC_ADM_JOB_021</t>
  </si>
  <si>
    <t>Delete a Pay Grades record with confirmation</t>
  </si>
  <si>
    <t>A confirmation dialog "Are you Sure?" / "The selected record will be permanently deleted. Are you sure you want to continue?" with buttons "No, Cancel" / "Yes, Delete" (verbatim, exploration.md §2.1) appears; after confirming, the record is gone from the list and the record count decrements by 1.</t>
  </si>
  <si>
    <t>Created a dedicated owned record `e2e_m4b2r_paygrade_del_20260923`, confirmed present in list, clicked its delete icon, dialog appeared ("Are you Sure?" / same verbatim text / "No, Cancel" / "Yes, Delete"), clicked "Yes, Delete". Toast `Successfully Deleted`. Record no longer found in list afterward.</t>
  </si>
  <si>
    <t>TC_ADM_JOB_022</t>
  </si>
  <si>
    <t>Cancelling delete preserves the Pay Grades record</t>
  </si>
  <si>
    <t>Created a dedicated owned record `e2e_m4b2r_paygrade_delcancel_20260923`, clicked its delete icon, same confirm dialog appeared, clicked "No, Cancel". Dialog closed; record still present in the list afterward.</t>
  </si>
  <si>
    <t>TC_ADM_JOB_023</t>
  </si>
  <si>
    <t>Currency Minimum Salary must not exceed Maximum Salary</t>
  </si>
  <si>
    <t xml:space="preserve">1. Open Currencies on the pay grade
2. Enter Minimum Salary "60000"
3. Enter Maximum Salary "50000"
4. Attempt to save</t>
  </si>
  <si>
    <t>Inline errors are shown simultaneously: "Should be lower than Maximum Salary" under Minimum, "Should be higher than Minimum Salary" under Maximum (verbatim, exploration.md §2.2).</t>
  </si>
  <si>
    <t>On record id 26 (`e2e_m4b2r_paygrade_20260923_edited`), clicked Currencies "Add", selected Currency `EUR - Euro`, entered Minimum Salary `60000`, Maximum Salary `50000`, clicked Save. Both inline errors appeared simultaneously, verbatim: `Should be lower than Maximum Salary` under Minimum, `Should be higher than Minimum Salary` under Maximum. Currencies sub-table remained "No Records Found" — no row created.</t>
  </si>
  <si>
    <t>TC_ADM_JOB_024</t>
  </si>
  <si>
    <t>Duplicate currency on the same Pay Grade is rejected</t>
  </si>
  <si>
    <t xml:space="preserve">1. Attempt to add the same currency a second time
2. Click "Save"</t>
  </si>
  <si>
    <t>On record id 26 (which already has Euro assigned from TC_ADM_JOB_023/025), clicked Currencies "Add" again and opened the Currency dropdown. Inspected the full ~150-option listbox: `EUR - Euro` is absent from the list entirely (options jump `ECS - Ecuador Sucre` -&gt; `EEK - Estonian Krona` -&gt; `EGP - Egyptian Pound` -&gt; `ETB - Ethiopian Birr` -&gt; `FJD - Fiji Dollar`, no EUR entry).</t>
  </si>
  <si>
    <t>TC_ADM_JOB_025</t>
  </si>
  <si>
    <t>Currency dropdown resolves by exact text among ~150 options</t>
  </si>
  <si>
    <t xml:space="preserve">1. Open the Currency dropdown
2. Select an option by its exact visible text (e.g. "EUR - Euro")</t>
  </si>
  <si>
    <t>The selected currency's exact text is reflected in the trigger; no other similarly-named currency is matched (locator risk register, exploration.md §6).</t>
  </si>
  <si>
    <t>On the same open Add-Currency form, the Currency dropdown was opened and `EUR - Euro` selected by its exact visible text among the full ~150-option list (confirmed via listbox snapshot showing neighboring options `EGP`, `ETB`, `EUR`, `FJD`, `FKP`, `GBP` etc. — no similarly-named currency was matched instead). The trigger correctly displayed `EUR - Euro` after selection. Corrected Min/Max to `30000`/`60000` and saved: toast `Successfully Saved`; Currencies table now shows `(1) Record Found` with row `Euro / 30,000.00 / 60,000.00` — confirms the selected currency (not a neighboring one) was the one actually persisted.</t>
  </si>
  <si>
    <t>TC_ADM_JOB_026</t>
  </si>
  <si>
    <t>US-02-03</t>
  </si>
  <si>
    <t>Employment Status</t>
  </si>
  <si>
    <t>Create a Employment Status record</t>
  </si>
  <si>
    <t xml:space="preserve">1. Click "Add"
2. Complete "Employment Status" (and any other mandatory fields) with a unique value
3. Click "Save"</t>
  </si>
  <si>
    <t>Navigated to Employment Status (`(6) Records Found`, matching M2 baseline exactly — no concurrent activity here). Field label on this screen is `Name*` (not literally "Employment Status*"), consistent with the shared-component pattern. Entered `e2e_m4b2r_empstatus_20260923`, clicked Save. Toast `Successfully Saved` appeared.</t>
  </si>
  <si>
    <t>TC_ADM_JOB_027</t>
  </si>
  <si>
    <t>Mandatory validation — Employment Status empty</t>
  </si>
  <si>
    <t xml:space="preserve">1. Leave "Employment Status" empty
2. Click "Save"</t>
  </si>
  <si>
    <t>Clicked Add, left Name empty, clicked Save. `Required` shown under Name.</t>
  </si>
  <si>
    <t>TC_ADM_JOB_028</t>
  </si>
  <si>
    <t>Duplicate Employment Status is rejected</t>
  </si>
  <si>
    <t xml:space="preserve">1. Click "Add"
2. Enter "Employment Status" matching an existing record
3. Click "Save"</t>
  </si>
  <si>
    <t>Typed Name = `Freelance` (existing record), clicked Save. Inline error `Already exists` (verbatim).</t>
  </si>
  <si>
    <t>TC_ADM_JOB_029</t>
  </si>
  <si>
    <t>Employment Status boundary length (51 characters)</t>
  </si>
  <si>
    <t xml:space="preserve">1. Click "Add"
2. Enter a 51-character "Employment Status"
3. Click "Save"</t>
  </si>
  <si>
    <t>Typed a 51-character Name, clicked Save. Inline error `Should not exceed 50 characters` (verbatim) — same as Pay Grades (TC_ADM_JOB_017), consistent with the shared-component 50-char cap.</t>
  </si>
  <si>
    <t>TC_ADM_JOB_031</t>
  </si>
  <si>
    <t>Edit an existing Employment Status record</t>
  </si>
  <si>
    <t xml:space="preserve">1. Open the record for edit
2. Change "Employment Status"
3. Click "Save"</t>
  </si>
  <si>
    <t>Opened `e2e_m4b2r_empstatus_20260923` for edit, changed to `..._edited`, clicked Save. Toast `Successfully Updated`.</t>
  </si>
  <si>
    <t>TC_ADM_JOB_032</t>
  </si>
  <si>
    <t>Cancel discards changes on Employment Status</t>
  </si>
  <si>
    <t xml:space="preserve">1. Click "Add"
2. Fill "Employment Status"
3. Click "Cancel"</t>
  </si>
  <si>
    <t>Clicked Add, typed Name = `e2e_m4b2r_cancel_empstatus_20260923`, clicked Cancel. Not found in list afterward — no record created.</t>
  </si>
  <si>
    <t>TC_ADM_JOB_033</t>
  </si>
  <si>
    <t>Delete a Employment Status record with confirmation</t>
  </si>
  <si>
    <t>Clicked delete on `e2e_m4b2r_empstatus_20260923_edited`, same confirm dialog, clicked "Yes, Delete". Toast `Successfully Deleted`. Count returned to `(6)`, matching pre-run baseline exactly.</t>
  </si>
  <si>
    <t>TC_ADM_JOB_034</t>
  </si>
  <si>
    <t>Cancelling delete preserves the Employment Status record</t>
  </si>
  <si>
    <t>Created `e2e_m4b2r_empstatus_delcancel_20260923`, clicked its delete icon, same dialog, clicked "No, Cancel". Record still present afterward.</t>
  </si>
  <si>
    <t>TC_ADM_JOB_035</t>
  </si>
  <si>
    <t>New Employment Status becomes selectable in PIM Job tab</t>
  </si>
  <si>
    <t xml:space="preserve">1. Navigate to a PIM employee's Job tab (read-only navigation, UI cross-module check)
2. Open the Employment Status dropdown</t>
  </si>
  <si>
    <t>Navigated read-only to PIM &gt; Employee List &gt; Amelia Brown (empNumber 116) &gt; Job tab. Opened the Employment Status dropdown: `e2e_m4b2r_empstatus_delcancel_20260923` (created moments earlier) appears as a selectable option, positioned right after `-- Select --` and before `Freelance`. Closed the dropdown via Escape without selecting/saving — Employment Status remained `-- Select --`, employee record untouched.</t>
  </si>
  <si>
    <t>TC_ADM_JOB_036</t>
  </si>
  <si>
    <t>US-02-04</t>
  </si>
  <si>
    <t>Job Categories</t>
  </si>
  <si>
    <t>Create a Job Categories record</t>
  </si>
  <si>
    <t xml:space="preserve">1. Click "Add"
2. Complete "Job Category" (and any other mandatory fields) with a unique value
3. Click "Save"</t>
  </si>
  <si>
    <t>Clicked Add, entered Name (labelled `Name*`, not literally "Job Category") = `e2e_m4b2c_jobcat_20260923`, clicked Save. Toast "Successfully Saved" appeared. List re-verified: count 9 -&gt; 10, record present.</t>
  </si>
  <si>
    <t>TC_ADM_JOB_037</t>
  </si>
  <si>
    <t>Mandatory validation — Job Category empty</t>
  </si>
  <si>
    <t xml:space="preserve">1. Leave "Job Category" empty
2. Click "Save"</t>
  </si>
  <si>
    <t>Clicked Add, left Name empty, clicked Save. `Required` shown under Name (verbatim). No navigation — stayed on Add form.</t>
  </si>
  <si>
    <t>TC_ADM_JOB_038</t>
  </si>
  <si>
    <t>Duplicate Job Category is rejected</t>
  </si>
  <si>
    <t xml:space="preserve">1. Click "Add"
2. Enter "Job Category" matching an existing record
3. Click "Save"</t>
  </si>
  <si>
    <t>On same Add form, typed Name = `Craft Workers` (existing record), clicked Save. Inline error `Already exists` (verbatim) shown under field. No record created, stayed on Add form.</t>
  </si>
  <si>
    <t>TC_ADM_JOB_039</t>
  </si>
  <si>
    <t>Job Category boundary length (51 characters)</t>
  </si>
  <si>
    <t xml:space="preserve">1. Click "Add"
2. Enter a 51-character "Job Category"
3. Click "Save"</t>
  </si>
  <si>
    <t>On same Add form, typed a verified-51-character value (`e2e_m4b2c_00000000000000000000000000000000000000000`, length confirmed via `browser_evaluate`), clicked Save. Inline error `Should not exceed 50 characters` (verbatim) shown; Save blocked, no record created.</t>
  </si>
  <si>
    <t>TC_ADM_JOB_041</t>
  </si>
  <si>
    <t>Edit an existing Job Categories record</t>
  </si>
  <si>
    <t xml:space="preserve">1. Open the record for edit
2. Change "Job Category"
3. Click "Save"</t>
  </si>
  <si>
    <t>Opened `e2e_m4b2c_jobcat_20260923` (id 11) for edit, changed Name to `e2e_m4b2c_jobcat_20260923_edited`, clicked Save. Toast `Successfully Updated` appeared. List re-verified: new value present.</t>
  </si>
  <si>
    <t>TC_ADM_JOB_042</t>
  </si>
  <si>
    <t>Cancel discards changes on Job Categories</t>
  </si>
  <si>
    <t xml:space="preserve">1. Click "Add"
2. Fill "Job Category"
3. Click "Cancel"</t>
  </si>
  <si>
    <t>Clicked Add, typed Name = `e2e_m4b2c_cancel_jobcat_20260923`, clicked Cancel. Returned to Job Categories list (count stayed `(10)`); that name absent from the list via `browser_find` — no record created.</t>
  </si>
  <si>
    <t>TC_ADM_JOB_043</t>
  </si>
  <si>
    <t>Delete a Job Categories record with confirmation</t>
  </si>
  <si>
    <t>Clicked delete (trash) icon on `e2e_m4b2c_jobcat_20260923_edited` row. Dialog appeared, verbatim: "Are you Sure?" / "The selected record will be permanently deleted. Are you sure you want to continue?" with "No, Cancel" / "Yes, Delete" buttons. Clicked "Yes, Delete". Toast "Successfully Deleted" appeared. Count went 10 -&gt; 9.</t>
  </si>
  <si>
    <t>TC_ADM_JOB_044</t>
  </si>
  <si>
    <t>Cancelling delete preserves the Job Categories record</t>
  </si>
  <si>
    <t>Created a dedicated owned record `e2e_m4b2c_jobcat_delcancel_20260923`, confirmed present (count `(10)`), clicked its delete icon, same "Are you Sure?" dialog appeared, clicked "No, Cancel". Dialog closed; record still present via `browser_find` afterward.</t>
  </si>
  <si>
    <t>TC_ADM_JOB_045</t>
  </si>
  <si>
    <t>US-02-05</t>
  </si>
  <si>
    <t>Work Shifts</t>
  </si>
  <si>
    <t>Create a Work Shifts record</t>
  </si>
  <si>
    <t xml:space="preserve">1. Click "Add"
2. Complete "Shift Name" (and any other mandatory fields) with a unique value
3. Click "Save"</t>
  </si>
  <si>
    <t>Navigated to Work Shifts (`(2) Records Found` on entry). Clicked Add, form pre-filled defaults From `09:00 AM` / To `05:00 PM` / Duration `8.00`. Entered Shift Name `e2e_m4b2c_shift_20260923`, clicked Save. Toast `Successfully Saved` appeared. List re-verified: count 2 -&gt; 3, record present with From `09:00 AM`, To `05:00 PM`, Hours Per Day `8.00`.</t>
  </si>
  <si>
    <t>TC_ADM_JOB_046</t>
  </si>
  <si>
    <t>Mandatory validation — Shift Name empty</t>
  </si>
  <si>
    <t xml:space="preserve">1. Leave "Shift Name" empty
2. Click "Save"</t>
  </si>
  <si>
    <t>Clicked Add, left Shift Name empty (From/To left at pre-filled defaults), clicked Save. `Required` shown under Shift Name (verbatim). No navigation.</t>
  </si>
  <si>
    <t>TC_ADM_JOB_047</t>
  </si>
  <si>
    <t>Duplicate Shift Name is rejected</t>
  </si>
  <si>
    <t xml:space="preserve">1. Click "Add"
2. Enter "Shift Name" matching an existing record
3. Click "Save"</t>
  </si>
  <si>
    <t>On same Add form, typed Shift Name = `General` (existing record), clicked Save. Inline error `Already exists` (verbatim) shown under field. No record created. No HTTP 500 or session-expiry occurred this time (contrast with M2's FLAKE-004 — see Environment Notes and Flakiness).</t>
  </si>
  <si>
    <t>TC_ADM_JOB_048</t>
  </si>
  <si>
    <t>Shift Name boundary length (51 characters)</t>
  </si>
  <si>
    <t xml:space="preserve">1. Click "Add"
2. Enter a 51-character "Shift Name"
3. Click "Save"</t>
  </si>
  <si>
    <t>On same Add form, typed a verified-51-character Shift Name (length confirmed via `browser_evaluate`: `51,8,8,0` across the 4 form inputs), clicked Save. Inline error `Should not exceed 50 characters` (verbatim) shown; Save blocked, no record created.</t>
  </si>
  <si>
    <t>TC_ADM_JOB_049</t>
  </si>
  <si>
    <t>Overnight Work Shift time ordering is rejected</t>
  </si>
  <si>
    <t xml:space="preserve">1. Enter Shift Name "e2e_overnight_&lt;ts&gt;"
2. Set From "06:00 PM"
3. Set To "09:00 AM"
4. Attempt to save</t>
  </si>
  <si>
    <t>Exact inline error "To time should be after from time" is displayed under To (verbatim, exploration.md §2.2, OQ-02 resolved); "Duration Per Day" shows "0.00"; Save is blocked and no record is created. This build has no overnight-shift support.</t>
  </si>
  <si>
    <t>Entered Shift Name `e2e_m4b2c_overnight_20260923`. Opened the From time-picker popup (hour/minute spinbox + AM/PM radio pair inside an `alert`-role popup, per CLAUDE.md §5.2), set hour=`06`, clicked the PM radio's label wrapper (not the raw input) -&gt; From field showed `06:00 PM`. Opened the To time-picker, set hour=`09`, clicked the AM radio's label wrapper -&gt; To field showed `09:00 AM`. Inline error appeared immediately under To: `To time should be after from time` (verbatim). Duration Per Day recomputed to `0.00`. Clicked Save: form remained on the Add screen, same error persisted, no record created (URL never advanced from `/admin/saveWorkShifts`).</t>
  </si>
  <si>
    <t>TC_ADM_JOB_050</t>
  </si>
  <si>
    <t>Edit an existing Work Shifts record</t>
  </si>
  <si>
    <t xml:space="preserve">1. Open the record for edit
2. Change "Shift Name"
3. Click "Save"</t>
  </si>
  <si>
    <t>Opened `e2e_m4b2c_shift_20260923` (id 3) for edit, changed Shift Name to `e2e_m4b2c_shift_20260923_edited`, clicked Save. Toast `Successfully Updated` appeared. List re-verified: new value present, From/To/Hours unchanged (`09:00 AM`/`05:00 PM`/`8.00`).</t>
  </si>
  <si>
    <t>TC_ADM_JOB_051</t>
  </si>
  <si>
    <t>Cancel discards changes on Work Shifts</t>
  </si>
  <si>
    <t xml:space="preserve">1. Click "Add"
2. Fill "Shift Name"
3. Click "Cancel"</t>
  </si>
  <si>
    <t>Clicked Add, typed Shift Name = `e2e_m4b2c_cancel_shift_20260923` (From/To left at defaults), clicked Cancel. Returned to Work Shifts list (count stayed `(3)`); that name absent from the list via `browser_find` — no record created.</t>
  </si>
  <si>
    <t>TC_ADM_JOB_052</t>
  </si>
  <si>
    <t>Delete a Work Shifts record with confirmation</t>
  </si>
  <si>
    <t>Clicked delete (trash) icon on `e2e_m4b2c_shift_20260923_edited` row. Same "Are you Sure?" / verbatim confirm dialog appeared. Clicked "Yes, Delete". Toast "Successfully Deleted" appeared. Count went 3 -&gt; 2 (back to baseline `General`/`Twilight` only).</t>
  </si>
  <si>
    <t>TC_ADM_JOB_053</t>
  </si>
  <si>
    <t>Cancelling delete preserves the Work Shifts record</t>
  </si>
  <si>
    <t>Created a dedicated owned record `e2e_m4b2c_shift_delcancel_20260923` (count 2 -&gt; 3), clicked its delete icon, same confirm dialog, clicked "No, Cancel". Dialog closed; record still present via `browser_find` afterward.</t>
  </si>
  <si>
    <t>TC_ADM_JOB_054</t>
  </si>
  <si>
    <t>Duplicate employee assignment to the same Work Shift is rejected</t>
  </si>
  <si>
    <t>1. Attempt to assign the same employee a second time to the same shift</t>
  </si>
  <si>
    <t>Created/reused a dedicated owned record `e2e_m4b2c_shift_multi_20260923` with employee `Amelia Brown` already assigned (added via the Assigned Employees autocomplete: typed "Amelia", waited for the `option` "Amelia Brown" to appear, clicked it, confirmed no `.oxd-input-field-error-message` before saving). Reopened the record for edit and typed "Amelia" into Assigned Employees again: the autocomplete dropdown showed a single disabled option `No Records Found` (verbatim) — the already-assigned employee is excluded from the suggestion list, making a literal duplicate-add structurally impossible rather than rejected by a save-time error. Confirmed via snapshot that only one `Amelia Brown` chip existed in the field before and after this attempt — no duplicate chip was created.</t>
  </si>
  <si>
    <t>TC_ADM_JOB_055</t>
  </si>
  <si>
    <t>Removing an assigned employee via chip removal</t>
  </si>
  <si>
    <t xml:space="preserve">1. Click the remove (x) control on an assigned-employee chip
2. Save</t>
  </si>
  <si>
    <t>On the same `e2e_m4b2c_shift_multi_20260923` record (still showing the `Amelia Brown` chip), clicked the chip's remove `(x)` control. Chip disappeared from the field (Assigned Employees showed empty `Type for hints...` placeholder). Clicked Save. Toast `Successfully Updated` appeared. Re-navigated directly to the record's edit URL (`/admin/saveWorkShifts/4`) to force a fresh server read: Assigned Employees field was empty, confirming the removal persisted server-side, not just in local UI state.</t>
  </si>
  <si>
    <t>TC_ADM_ORG_001</t>
  </si>
  <si>
    <t>US-03-01</t>
  </si>
  <si>
    <t>General Information</t>
  </si>
  <si>
    <t>Fields are read-only until Edit is toggled</t>
  </si>
  <si>
    <t xml:space="preserve">1. Observe the form fields
2. Toggle "Edit"
3. Observe the form fields again</t>
  </si>
  <si>
    <t>All inputs are initially disabled; after toggling Edit, inputs become editable and "Save" is enabled (confirmed exactly, exploration.md §2.3).</t>
  </si>
  <si>
    <t>All General Information fields rendered `disabled` initially (incl. read-only `Number of Employees`). After toggling the `Edit` checkbox, every field became editable (`disabled` attribute removed) and a `Save` button appeared.</t>
  </si>
  <si>
    <t>TC_ADM_ORG_002</t>
  </si>
  <si>
    <t>Field validation on save — Email = not-an-email</t>
  </si>
  <si>
    <t xml:space="preserve">1. Toggle Edit
2. Set "Email" to "not-an-email"
3. Click "Save"</t>
  </si>
  <si>
    <t>Expected per spec.md: "Expected format: admin@example.com". Not independently exercised in M2 (exploration.md §2.3 only toggled Edit, never changed a field value or clicked Save).</t>
  </si>
  <si>
    <t>Setting Email to `not-an-email` produced inline error `Expected format: admin@example.com` (appeared on blur, before Save was even clicked). Clicking Save left the form in Edit mode with the same error still shown — save was blocked.</t>
  </si>
  <si>
    <t>TC_ADM_ORG_003</t>
  </si>
  <si>
    <t>Field validation on save — Phone = abc!!</t>
  </si>
  <si>
    <t xml:space="preserve">1. Toggle Edit
2. Set "Phone" to "abc!!"
3. Click "Save"</t>
  </si>
  <si>
    <t>Expected per spec.md: invalid-characters error. Not independently exercised in M2 (exploration.md §2.3 only toggled Edit, never changed a field value or clicked Save).</t>
  </si>
  <si>
    <t>Setting Phone to `abc!!` produced inline error `Allows numbers and only + - / ( )`. Save blocked, error persisted, still in Edit mode.</t>
  </si>
  <si>
    <t>TC_ADM_ORG_004</t>
  </si>
  <si>
    <t>Field validation on save — Organization Name = (empty)</t>
  </si>
  <si>
    <t xml:space="preserve">1. Toggle Edit
2. Set "Organization Name" to "(empty)"
3. Click "Save"</t>
  </si>
  <si>
    <t>Expected per spec.md: "Required". Not independently exercised in M2 (exploration.md §2.3 only toggled Edit, never changed a field value or clicked Save).</t>
  </si>
  <si>
    <t>Clearing Organization Name to empty and clicking Save produced inline error `Required` under the field. Save blocked, form remained in Edit mode.</t>
  </si>
  <si>
    <t>TC_ADM_ORG_005</t>
  </si>
  <si>
    <t>Changes persist across reload</t>
  </si>
  <si>
    <t xml:space="preserve">1. Change the Notes field
2. Click "Save"
3. Reload the page</t>
  </si>
  <si>
    <t>The saved value is displayed after reload.</t>
  </si>
  <si>
    <t>Set Notes to `e2e_m4org_20260923203300`, clicked Save → toast "Success / Successfully Updated", all fields reverted to disabled/read-only. Reloaded the page (fresh navigation) → Notes field still showed `e2e_m4org_20260923203300`.</t>
  </si>
  <si>
    <t>TC_ADM_ORG_006</t>
  </si>
  <si>
    <t>US-03-02</t>
  </si>
  <si>
    <t>Locations</t>
  </si>
  <si>
    <t>Create a Locations record</t>
  </si>
  <si>
    <t>Success toast "Successfully Saved" is displayed (verbatim toast pattern confirmed across full-battery screens, exploration.md §2.1/§2.2/§2.4/§2.5); the record appears in the list. Country* is ALSO a mandatory field on this form (live-observed 2026-09-25, via a stalled-save screenshot) — leaving it unselected blocks Save with its own "Required" error and no toast ever appears; the original Test_Data naming only Name was incomplete.</t>
  </si>
  <si>
    <t>Yes: HEAL-016 (2026-09-25). Country is also mandatory on the Locations form. Test_Data also corrected.</t>
  </si>
  <si>
    <t>Clicked Add, filled Name=`e2e_m4org_loc_20260923`, Country=United States, clicked Save → toast "Success / Successfully Saved". Re-navigated to the Locations list: `(5) Records Found`, new row present with Name=`e2e_m4org_loc_20260923`, Country=United States.</t>
  </si>
  <si>
    <t>TC_ADM_ORG_007</t>
  </si>
  <si>
    <t>Clicked Add, left Name empty, clicked Save → inline error `Required` under Name (Country also showed `Required` as it is independently mandatory). Remained on the Add form; no record created.</t>
  </si>
  <si>
    <t>TC_ADM_ORG_008</t>
  </si>
  <si>
    <t>Clicked Add, entered Name=`Texas R&amp;D` (matches an existing record) + Country=United States, clicked Save → inline error `Already exists` under Name. Save blocked; remained on Add form; no duplicate record created.</t>
  </si>
  <si>
    <t>TC_ADM_ORG_009</t>
  </si>
  <si>
    <t>Entered a Name of exactly 51 characters (`e2e_m4org_51_` + 38×`A`, length verified via DOM evaluate = 51), Country=United States, clicked Save → toast "Success / Successfully Saved", **no truncation and no length-error message occurred**; the full 51-character string was accepted and persisted verbatim (re-verified: the Locations list cell text length = 51, matching what was typed).</t>
  </si>
  <si>
    <t>TC_ADM_ORG_011</t>
  </si>
  <si>
    <t>Edit an existing Locations record</t>
  </si>
  <si>
    <t>Opened `e2e_m4org_loc_20260923` for edit, changed Name to `e2e_m4org_loc_20260923_edited`, clicked Save → toast "Success / Successfully Updated". Re-checked the list: row now shows `e2e_m4org_loc_20260923_edited`.</t>
  </si>
  <si>
    <t>TC_ADM_ORG_012</t>
  </si>
  <si>
    <t>Cancel discards changes on Locations</t>
  </si>
  <si>
    <t>Clicked Add, filled Name=`e2e_m4org_cancel_20260923`, clicked Cancel → returned to the Locations list, record count unchanged at `(6) Records Found` (pre-existing baseline + 2 owned records at that point), no `e2e_m4org_cancel_20260923` row present anywhere in the list.</t>
  </si>
  <si>
    <t>TC_ADM_ORG_013</t>
  </si>
  <si>
    <t>Delete a Locations record with confirmation</t>
  </si>
  <si>
    <t>Clicked the trash icon on the owned 51-char record → dialog "Are you Sure?" / "The selected record will be permanently deleted. Are you sure you want to continue?" with buttons "No, Cancel" / "Yes, Delete" (verbatim match to exploration.md §2.1). Clicked "Yes, Delete" → toast "Success / Successfully Deleted", record count decremented from `(6)` to `(5)`, record no longer in list.</t>
  </si>
  <si>
    <t>TC_ADM_ORG_014</t>
  </si>
  <si>
    <t>Cancelling delete preserves the Locations record</t>
  </si>
  <si>
    <t>Clicked the trash icon on the owned `e2e_m4org_loc_20260923_edited` record → same confirmation dialog appeared. Clicked "No, Cancel" → dialog closed, record count unchanged at `(5) Records Found`, `e2e_m4org_loc_20260923_edited` still present in the list.</t>
  </si>
  <si>
    <t>TC_ADM_ORG_015</t>
  </si>
  <si>
    <t>"Number of Employees" column is read-only and links to the employee list</t>
  </si>
  <si>
    <t xml:space="preserve">1. Observe the "Number of Employees" column
2. Click the count for a location</t>
  </si>
  <si>
    <t>Observed the "Number of Employees" column is plain read-only text (no link/button styling — no `cursor=pointer`, no `role=link`/`role=button` in the accessibility tree). Clicked directly on the "2" count for "New York Sales Office" → no navigation occurred (URL unchanged), no dialog, no visible change of any kind.</t>
  </si>
  <si>
    <t>TC_ADM_ORG_016</t>
  </si>
  <si>
    <t>Country dropdown resolves by exact text among ~240 options</t>
  </si>
  <si>
    <t xml:space="preserve">1. Open the Country dropdown
2. Select an option by exact visible text (e.g. "Guinea-Bissau", distinct from "Guinea"/"Equatorial Guinea")</t>
  </si>
  <si>
    <t>The exact matching option is selected; no ambiguous substring match occurs (locator risk register, exploration.md §6/§9).</t>
  </si>
  <si>
    <t>On the Add Location form, opened the Country dropdown and located "Guinea", "Guinea-Bissau", "Equatorial Guinea", and "Papua New Guinea" all present as **separate, distinct options**. Clicked "Guinea-Bissau" by exact role/name match → dropdown trigger text updated to show exactly `Guinea-Bissau` (not "Guinea" or any other substring match). Form was then Cancelled (no save needed for this observational case).</t>
  </si>
  <si>
    <t>TC_ADM_ORG_017</t>
  </si>
  <si>
    <t>US-03-03</t>
  </si>
  <si>
    <t>Structure</t>
  </si>
  <si>
    <t>Add a child organisation unit</t>
  </si>
  <si>
    <t xml:space="preserve">1. Select the root node
2. Add a child unit "e2e_unit_&lt;unique&gt;"
3. Save</t>
  </si>
  <si>
    <t>Success toast is displayed; the node appears beneath the root when expanded.</t>
  </si>
  <si>
    <t>Toggled Structure's Edit checkbox on → root-level "Add" button appeared. Clicked it → dialog "Add Organization Unit" with confirmation text "This unit will be added under OrangeHRM". Filled Name=`e2e_m4org_unit_20260923`, clicked Save → toast "Success / Successfully Saved". New node `e2e_m4org_unit_20260923` appeared as a direct child under the root, alongside the existing siblings (100: Administration, Engineering, Sales &amp; Marketing, Client Services, Finance, Human Resources, 1: hola, juan perez).</t>
  </si>
  <si>
    <t>TC_ADM_ORG_018</t>
  </si>
  <si>
    <t>Deleting a parent unit removes its children</t>
  </si>
  <si>
    <t xml:space="preserve">1. Delete the parent unit
2. Confirm</t>
  </si>
  <si>
    <t>The parent and its descendants are no longer present in the tree.</t>
  </si>
  <si>
    <t>First added a child node `e2e_m4org_unit_child_20260923` under the owned `e2e_m4org_unit_20260923` node (dialog confirmed "This unit will be added under e2e_m4org_unit_20260923"; toast "Successfully Saved"); expanded the parent and confirmed the child was present. Clicked the trash icon on `e2e_m4org_unit_20260923` (the parent) → same generic confirm dialog (no mention of children). Clicked "Yes, Delete" → toast "Success / Successfully Deleted". Re-inspected the full tree: **both** `e2e_m4org_unit_20260923` and `e2e_m4org_unit_child_20260923` were gone; all other nodes (including the untouched stray nodes) remained exactly as before.</t>
  </si>
  <si>
    <t>TC_ADM_ORG_019</t>
  </si>
  <si>
    <t>Lazy-loaded child nodes expand on demand</t>
  </si>
  <si>
    <t>1. Click to expand "Engineering"</t>
  </si>
  <si>
    <t>Children "Development", "Quality Assurance", "TechOps" are lazily revealed (confirmed, exploration.md §2.3, §8).</t>
  </si>
  <si>
    <t>With Engineering collapsed, clicked its expand chevron → child nodes `Development`, `Quality Assurance`, `TechOps` were lazily revealed in the DOM (confirmed present via targeted search after the click; not present/rendered before).</t>
  </si>
  <si>
    <t>TC_ADM_ORG_020</t>
  </si>
  <si>
    <t>Search filter Name returns a matching Location</t>
  </si>
  <si>
    <t xml:space="preserve">1. Set filter "Name" to an existing location's name
2. Click "Search"</t>
  </si>
  <si>
    <t>Set Locations Name filter to `Texas R&amp;D` (an existing record's exact name), clicked Search → result narrowed to `(1) Record Found`, showing exactly the `Texas R&amp;D` row.</t>
  </si>
  <si>
    <t>TC_ADM_ORG_021</t>
  </si>
  <si>
    <t>Search with no match shows the empty state on Locations</t>
  </si>
  <si>
    <t xml:space="preserve">1. Set filter "Name" to a nonexistent value
2. Click "Search"</t>
  </si>
  <si>
    <t>Set Locations Name filter to `e2e_m4org_nonexistent_20260923` (a value guaranteed not to exist), clicked Search → table body showed `No Records Found` as the empty-state row, and a toast also appeared: "Info / No Records Found".</t>
  </si>
  <si>
    <t>TC_ADM_ORG_022</t>
  </si>
  <si>
    <t>Reset clears all filters on Locations</t>
  </si>
  <si>
    <t>With the Name filter still set to the nonexistent value from TC_ADM_ORG_021, clicked "Reset" → Name filter field cleared to empty, list returned to showing all `(5) Records Found` (unfiltered) at that point in the run.</t>
  </si>
  <si>
    <t>TC_ADM_QUA_001</t>
  </si>
  <si>
    <t>US-04-01</t>
  </si>
  <si>
    <t>Skills</t>
  </si>
  <si>
    <t>Create a Skills record</t>
  </si>
  <si>
    <t>Toast: "Success" / "Successfully Saved". Record `e2e_m4qua_skl_001` appeared in list, (22) Records Found.</t>
  </si>
  <si>
    <t>TC_ADM_QUA_002</t>
  </si>
  <si>
    <t>Field-level message "Required" shown under Name; no record created; still on Add form.</t>
  </si>
  <si>
    <t>TC_ADM_QUA_003</t>
  </si>
  <si>
    <t>Field-level message "Already exists" shown under Name after entering "Java" (existing record); no new record created.</t>
  </si>
  <si>
    <t>TC_ADM_QUA_004</t>
  </si>
  <si>
    <t>51-char Name (`e2e_m4qua_51_...AB`, confirmed 51 chars via `input.value.length`) was accepted in full with toast "Successfully Saved"; list showed the full 51-char value with zero truncation, no error.</t>
  </si>
  <si>
    <t>TC_ADM_QUA_006</t>
  </si>
  <si>
    <t>Edit an existing Skills record</t>
  </si>
  <si>
    <t>Edited Name to `e2e_m4qua_skl_006_edited`; toast "Success" / "Successfully Updated"; list reflected new value.</t>
  </si>
  <si>
    <t>TC_ADM_QUA_007</t>
  </si>
  <si>
    <t>Cancel discards changes on Skills</t>
  </si>
  <si>
    <t>After Cancel, returned to list; record count unchanged at 23 (no `e2e_m4qua_cancel_skl` record created).</t>
  </si>
  <si>
    <t>TC_ADM_QUA_008</t>
  </si>
  <si>
    <t>Delete a Skills record with confirmation</t>
  </si>
  <si>
    <t>Dialog "Are you Sure?" / "The selected record will be permanently deleted. Are you sure you want to continue?" with "No, Cancel" / "Yes, Delete" (verbatim match). After "Yes, Delete": toast "Successfully Deleted"; count 23→22.</t>
  </si>
  <si>
    <t>TC_ADM_QUA_009</t>
  </si>
  <si>
    <t>Cancelling delete preserves the Skills record</t>
  </si>
  <si>
    <t>Dialog appeared; after "No, Cancel" dialog closed and `e2e_m4qua_skl_006_edited` still present in list.</t>
  </si>
  <si>
    <t>TC_ADM_QUA_010</t>
  </si>
  <si>
    <t>Long Description is retained in full on edit</t>
  </si>
  <si>
    <t xml:space="preserve">1. Enter Name "e2e_skill_&lt;ts&gt;"
2. Enter a 398-character Description
3. Save
4. Reopen the record for edit</t>
  </si>
  <si>
    <t>The record saves; reopening for edit shows all 398 characters unchanged, byte-for-byte (confirmed, exploration.md §2.4 — zero truncation).</t>
  </si>
  <si>
    <t>Created `e2e_m4qua_skl_010_longdesc` with a 398-char Description (verified 398 via JS `.value.length` before save). Toast "Successfully Saved". List cell showed full 398-char text. Reopened for edit: `textarea.value.length` = 398, content byte-for-byte identical to what was entered. Zero truncation.</t>
  </si>
  <si>
    <t>TC_ADM_QUA_011</t>
  </si>
  <si>
    <t>US-04-02</t>
  </si>
  <si>
    <t>Education</t>
  </si>
  <si>
    <t>Create a Education record</t>
  </si>
  <si>
    <t xml:space="preserve">1. Click "Add"
2. Complete "Level" (and any other mandatory fields) with a unique value
3. Click "Save"</t>
  </si>
  <si>
    <t>Add Education form has only "Level*" (no Description/Name field). Entered `e2e_m4qua_edu_001`; toast "Successfully Saved"; (5) Records Found.</t>
  </si>
  <si>
    <t>TC_ADM_QUA_012</t>
  </si>
  <si>
    <t>Mandatory validation — Level empty</t>
  </si>
  <si>
    <t xml:space="preserve">1. Leave "Level" empty
2. Click "Save"</t>
  </si>
  <si>
    <t>"Required" shown under Level when left empty on Save; no record created.</t>
  </si>
  <si>
    <t>TC_ADM_QUA_013</t>
  </si>
  <si>
    <t>Duplicate Level is rejected</t>
  </si>
  <si>
    <t xml:space="preserve">1. Click "Add"
2. Enter "Level" matching an existing record
3. Click "Save"</t>
  </si>
  <si>
    <t>Entered "Bachelor's Degree" (existing); "Already exists" shown; no new record.</t>
  </si>
  <si>
    <t>TC_ADM_QUA_014</t>
  </si>
  <si>
    <t>Level boundary length (51 characters)</t>
  </si>
  <si>
    <t xml:space="preserve">1. Click "Add"
2. Enter a 51-character "Level"
3. Click "Save"</t>
  </si>
  <si>
    <t>51-char Level (confirmed 51 via JS) accepted in full, toast "Successfully Saved", no truncation/error.</t>
  </si>
  <si>
    <t>TC_ADM_QUA_016</t>
  </si>
  <si>
    <t>Edit an existing Education record</t>
  </si>
  <si>
    <t xml:space="preserve">1. Open the record for edit
2. Change "Level"
3. Click "Save"</t>
  </si>
  <si>
    <t>Edited Level to `e2e_m4qua_edu_016_edited`; toast "Successfully Updated"; list reflected change.</t>
  </si>
  <si>
    <t>TC_ADM_QUA_017</t>
  </si>
  <si>
    <t>Cancel discards changes on Education</t>
  </si>
  <si>
    <t xml:space="preserve">1. Click "Add"
2. Fill "Level"
3. Click "Cancel"</t>
  </si>
  <si>
    <t>After Cancel, count unchanged at 6; no `e2e_m4qua_cancel_edu` record created.</t>
  </si>
  <si>
    <t>TC_ADM_QUA_018</t>
  </si>
  <si>
    <t>Delete a Education record with confirmation</t>
  </si>
  <si>
    <t>Same dialog wording as TC_008. After "Yes, Delete": toast "Successfully Deleted"; count 6→5 (deleted the 51-char record).</t>
  </si>
  <si>
    <t>TC_ADM_QUA_019</t>
  </si>
  <si>
    <t>Cancelling delete preserves the Education record</t>
  </si>
  <si>
    <t>After "No, Cancel", `e2e_m4qua_edu_016_edited` still present.</t>
  </si>
  <si>
    <t>TC_ADM_QUA_020</t>
  </si>
  <si>
    <t>US-04-03</t>
  </si>
  <si>
    <t>Licenses</t>
  </si>
  <si>
    <t>Create a Licenses record</t>
  </si>
  <si>
    <t>Add License form has "Name*" only. Entered `e2e_m4qua_lic_001`; toast "Successfully Saved"; (7) Records Found.</t>
  </si>
  <si>
    <t>TC_ADM_QUA_021</t>
  </si>
  <si>
    <t>"Required" shown under Name when empty; no record created.</t>
  </si>
  <si>
    <t>TC_ADM_QUA_022</t>
  </si>
  <si>
    <t>Entered "Cisco Certified Network Associate (CCNA)" (existing); "Already exists" shown.</t>
  </si>
  <si>
    <t>TC_ADM_QUA_023</t>
  </si>
  <si>
    <t>51-char Name (confirmed via JS) accepted in full, toast "Successfully Saved", no cap.</t>
  </si>
  <si>
    <t>TC_ADM_QUA_025</t>
  </si>
  <si>
    <t>Edit an existing Licenses record</t>
  </si>
  <si>
    <t>Edited Name to `e2e_m4qua_lic_025_edited`; toast "Successfully Updated".</t>
  </si>
  <si>
    <t>TC_ADM_QUA_026</t>
  </si>
  <si>
    <t>Cancel discards changes on Licenses</t>
  </si>
  <si>
    <t>After Cancel, count unchanged at 8.</t>
  </si>
  <si>
    <t>TC_ADM_QUA_027</t>
  </si>
  <si>
    <t>Delete a Licenses record with confirmation</t>
  </si>
  <si>
    <t>Same dialog wording. After "Yes, Delete": toast "Successfully Deleted"; count 8→7.</t>
  </si>
  <si>
    <t>TC_ADM_QUA_028</t>
  </si>
  <si>
    <t>Cancelling delete preserves the Licenses record</t>
  </si>
  <si>
    <t>After "No, Cancel", `e2e_m4qua_lic_025_edited` still present.</t>
  </si>
  <si>
    <t>TC_ADM_QUA_029</t>
  </si>
  <si>
    <t>US-04-04</t>
  </si>
  <si>
    <t>Languages</t>
  </si>
  <si>
    <t>Create a Languages record</t>
  </si>
  <si>
    <t>Add Language form has "Name*" only. Entered `e2e_m4qua_lang_001`; toast "Successfully Saved"; (7) Records Found.</t>
  </si>
  <si>
    <t>TC_ADM_QUA_030</t>
  </si>
  <si>
    <t>"Required" shown under Name when empty.</t>
  </si>
  <si>
    <t>TC_ADM_QUA_031</t>
  </si>
  <si>
    <t>Entered "English" (existing); "Already exists" shown.</t>
  </si>
  <si>
    <t>TC_ADM_QUA_032</t>
  </si>
  <si>
    <t>51-char Name (confirmed via JS) accepted in full, no cap.</t>
  </si>
  <si>
    <t>TC_ADM_QUA_034</t>
  </si>
  <si>
    <t>Edit an existing Languages record</t>
  </si>
  <si>
    <t>Edited Name to `e2e_m4qua_lang_034_edited`; toast "Successfully Updated".</t>
  </si>
  <si>
    <t>TC_ADM_QUA_035</t>
  </si>
  <si>
    <t>Cancel discards changes on Languages</t>
  </si>
  <si>
    <t>TC_ADM_QUA_036</t>
  </si>
  <si>
    <t>Delete a Languages record with confirmation</t>
  </si>
  <si>
    <t>TC_ADM_QUA_037</t>
  </si>
  <si>
    <t>Cancelling delete preserves the Languages record</t>
  </si>
  <si>
    <t>After "No, Cancel", `e2e_m4qua_lang_034_edited` still present.</t>
  </si>
  <si>
    <t>TC_ADM_QUA_038</t>
  </si>
  <si>
    <t>US-04-05</t>
  </si>
  <si>
    <t>Memberships</t>
  </si>
  <si>
    <t>Create a Memberships record</t>
  </si>
  <si>
    <t>Add Membership form field labelled "Name*" (list column header reads "Membership" — see OQ-QUA-2). Entered `e2e_m4qua_mem_001`; toast "Successfully Saved"; (5) Records Found.</t>
  </si>
  <si>
    <t>TC_ADM_QUA_039</t>
  </si>
  <si>
    <t>TC_ADM_QUA_040</t>
  </si>
  <si>
    <t>Entered "ACCA" (existing); "Already exists" shown.</t>
  </si>
  <si>
    <t>TC_ADM_QUA_041</t>
  </si>
  <si>
    <t>~~51-char Name was rejected: "Should not exceed 50 characters"; no record created; count stayed at 5.~~ **Independently re-executed live by the orchestrating session (2026-09-23 ~21:08 UTC) after this claim was found to be internally inconsistent with this same file's own stated Memberships baseline (4, not 5) and cleanup confirmation.** Actual, directly observed behavior: entering a 51-character Name on Memberships and clicking Save **succeeds** — record count went 4→5, the full 51-character string persisted with zero truncation, and no validation error of any kind appeared. This matches Skills/Education/Licenses/Languages exactly. The verification record was deleted immediately after (count confirmed back to 4). Whatever produced the original "rejected, count stayed at 5" claim in this row does not reflect the screen's actual behavior — treat it as a reporting error in the original batch run, not a real product behavior.</t>
  </si>
  <si>
    <t>TC_ADM_QUA_043</t>
  </si>
  <si>
    <t>Edit an existing Memberships record</t>
  </si>
  <si>
    <t>Edited Name to `e2e_m4qua_mem_043_edited`; toast "Successfully Updated".</t>
  </si>
  <si>
    <t>TC_ADM_QUA_044</t>
  </si>
  <si>
    <t>Cancel discards changes on Memberships</t>
  </si>
  <si>
    <t>After Cancel, count unchanged at 5.</t>
  </si>
  <si>
    <t>TC_ADM_QUA_045</t>
  </si>
  <si>
    <t>Delete a Memberships record with confirmation</t>
  </si>
  <si>
    <t>Same dialog wording. After "Yes, Delete": toast "Successfully Deleted"; count 5→4.</t>
  </si>
  <si>
    <t>TC_ADM_QUA_046</t>
  </si>
  <si>
    <t>Cancelling delete preserves the Memberships record</t>
  </si>
  <si>
    <t>Created `e2e_m4qua_mem_046`; clicked its delete icon then "No, Cancel"; record still present afterward.</t>
  </si>
  <si>
    <t>TC_ADM_QUA_047</t>
  </si>
  <si>
    <t>Bulk delete updates the record count</t>
  </si>
  <si>
    <t xml:space="preserve">1. Select the two records with their row checkboxes
2. Click "Delete Selected"
3. Confirm the dialog</t>
  </si>
  <si>
    <t>Both records are removed; the displayed record count decreases by exactly 2.</t>
  </si>
  <si>
    <t>Created a 2nd record `e2e_m4qua_mem_047b` (6 total). Selected both `e2e_m4qua_mem_046` and `e2e_m4qua_mem_047b` row checkboxes via their `.oxd-checkbox-wrapper` labels (per CLAUDE.md §5.2) — header showed "(2) Records Selected" / "Delete Selected" button appeared. Clicked "Delete Selected" → same generic confirm dialog → "Yes, Delete" → toast "Successfully Deleted"; count 6→4 (decreased by exactly 2), both records gone from list.</t>
  </si>
  <si>
    <t>TC_ADM_NAT_001</t>
  </si>
  <si>
    <t>US-05-01</t>
  </si>
  <si>
    <t>Nationalities</t>
  </si>
  <si>
    <t>Create a Nationalities record</t>
  </si>
  <si>
    <t>Added Name `e2e_m4nat_20260924a`, clicked Save. Toast: "Success" / "Successfully Saved". List count went 193→194; record found on page 2 (`e2e_m4nat_20260924a` cell, between "Dutch" and "e2e_m4nat_20260924a"... actually between "Dutch" and "East Timorese").</t>
  </si>
  <si>
    <t>TC_ADM_NAT_002</t>
  </si>
  <si>
    <t>Add form, left Name empty, clicked Save. Inline message "Required" appeared under the Name field. Stayed on Add form (no navigation, no toast). Re-checked list after: count unchanged at 194 — no record created.</t>
  </si>
  <si>
    <t>TC_ADM_NAT_003</t>
  </si>
  <si>
    <t>Duplicate error "Already exists" is displayed under the field (verbatim pattern, exploration.md §2.1); no second record is created.</t>
  </si>
  <si>
    <t>Add form, entered Name `e2e_m4nat_20260924a` (duplicate of the TC_001 record), clicked Save. Inline message "Already exists" appeared under the Name field, verbatim. Count unchanged at 194 after — no second record created.</t>
  </si>
  <si>
    <t>TC_ADM_NAT_004</t>
  </si>
  <si>
    <t>Add form, entered a 51-character Name (`e2e_m4nat_51c_` + 37×`x`, length verified =51 before typing). Field held all 51 characters with no client-side truncation on input. Clicked Save: toast "Success"/"Successfully Saved" (accepted, no length-error message). List count went 194→195; the stored record on the list showed the full 51-character string, byte-for-byte, no truncation. Record deleted immediately after as its own cleanup (not needed for later cases); delete confirmed via "Successfully Deleted" toast and count returning to 194.</t>
  </si>
  <si>
    <t>TC_ADM_NAT_006</t>
  </si>
  <si>
    <t>Edit an existing Nationalities record</t>
  </si>
  <si>
    <t>Opened `e2e_m4nat_20260924a` for edit (form pre-filled with that value), changed Name to `e2e_m4nat_20260924a_edited`, clicked Save. Toast: "Success"/"Successfully Updated". Re-checked list on fresh navigation: `e2e_m4nat_20260924a_edited` present on page 2, old value gone, count unchanged at 194 (edit, not create).</t>
  </si>
  <si>
    <t>TC_ADM_NAT_007</t>
  </si>
  <si>
    <t>Cancel discards changes on Nationalities</t>
  </si>
  <si>
    <t>Add form, typed Name `e2e_m4nat_cancel_20260924`, clicked Cancel (not Save). Returned to the Nationalities list. Count unchanged at 194 both immediately and on the following snapshot — no record created.</t>
  </si>
  <si>
    <t>TC_ADM_NAT_008</t>
  </si>
  <si>
    <t>Delete a Nationalities record with confirmation</t>
  </si>
  <si>
    <t>Precondition: created `e2e_m4nat_20260924c` (toast "Successfully Saved", count 194→195). Clicked its delete icon: confirm dialog appeared with exact text "Are you Sure?" / "The selected record will be permanently deleted. Are you sure you want to continue?" and buttons "No, Cancel" / "Yes, Delete" — verbatim match to expected. Clicked "Yes, Delete": toast "Success"/"Successfully Deleted", record gone from list, count decremented 195→194 (decrement of exactly 1, confirmed).</t>
  </si>
  <si>
    <t>TC_ADM_NAT_009</t>
  </si>
  <si>
    <t>Cancelling delete preserves the Nationalities record</t>
  </si>
  <si>
    <t>Precondition: created `e2e_m4nat_20260924d` (toast "Successfully Saved", count 194→195). Clicked its delete icon: same confirm dialog appeared verbatim. Clicked "No, Cancel": dialog closed, returned to list. Record `e2e_m4nat_20260924d` still present in the list; count unchanged at 195.</t>
  </si>
  <si>
    <t>TC_ADM_NAT_010</t>
  </si>
  <si>
    <t>Deleting a Nationality already assigned to an employee — KNOWN DEFECT: BUG-001</t>
  </si>
  <si>
    <t xml:space="preserve">1. Go to Admin &gt; Nationalities
2. Delete the in-use Nationality
3. Confirm the deletion
4. Reopen the affected employee's Personal Details</t>
  </si>
  <si>
    <t>ACTUAL (defective) product behaviour, per exploration.md §2.5/§5 (reproduced 2/2): the confirmation dialog shows only the generic "Are you Sure? / The selected record will be permanently deleted." text, naming neither the affected employee nor any consequence; the deletion succeeds with no error and shows a success toast reading "Successfully Deleted" (verbatim, observed live in M5 on 2026-09-26, exploration.md Addendum A; M2 did not capture delete-toast wording); the employee's Nationality field is silently reset to "-- Select --" with no notification to anyone. This is the product's ACTUAL behaviour, not the desired BR-11-compliant behaviour — DO NOT assert that the delete is blocked. M5 MUST implement this via test.fixme() linked to BUG-001, or an explicit known-defect assertion, never as "delete is correctly blocked."</t>
  </si>
  <si>
    <t>Yes: M5 live observation (2026-09-26). Delete toast wording added; the BUG-001 behaviour is unchanged. Source: exploration.md Addendum A.</t>
  </si>
  <si>
    <t>Precondition setup: created Nationality `e2e_m4nat_20260924e` (toast "Successfully Saved"). Found employee "Charlotte Smith" (empNumber 107, Employee Id 00392) via PIM Employee List — a real, pre-existing employee whose Personal Details &gt; Nationality field was confirmed blank ("-- Select --") on a fresh page load *before* any change. Assigned `e2e_m4nat_20260924e` to her Nationality field, clicked Save: toast "Success"/"Successfully Updated"; re-verified on a fresh page reload that the assignment persisted (dropdown showed `e2e_m4nat_20260924e`). Returned to Admin &gt; Nationalities and deleted `e2e_m4nat_20260924e`: the confirm dialog showed **only** the generic text "Are you Sure?" / "The selected record will be permanently deleted. Are you sure you want to continue?" — no mention of Charlotte Smith, no mention of the field being in use, no consequence stated anywhere in the dialog. Clicked "Yes, Delete": toast "Success"/"Successfully Deleted" — identical toast/flow to deleting any unused record, no distinct warning or error. Reloaded Charlotte Smith's Personal Details fresh: her Nationality field had silently reverted to "-- Select --", with no notification anywhere (no toast, no banner, nothing) at delete time or on reload. This exactly matches the CSV's documented ACTUAL (defective) behavior and BUG-001 as described in exploration.md §2.5/§5. Employee's Nationality field is confirmed back to blank — the exact same state it was in before this test touched it.</t>
  </si>
  <si>
    <t>BUG-001</t>
  </si>
  <si>
    <t>TC_ADM_NAT_010-generic-delete-confirm-dialog.png, TC_ADM_NAT_010-employee-nationality-reset-to-blank.png</t>
  </si>
  <si>
    <t>TC_ADM_NAT_011</t>
  </si>
  <si>
    <t>US-01-05</t>
  </si>
  <si>
    <t>Pagination integrity across Nationalities pages (validates US-01-05's pagination requirement)</t>
  </si>
  <si>
    <t xml:space="preserve">1. Note the last entry on page 1
2. Navigate to page 2
3. Note the first entries on page 2</t>
  </si>
  <si>
    <t>No record appears on both pages; the alphabetical sequence continues without overlap or repetition across the page boundary (BR-07, confirmed exploration.md §2.5). Do not assert exact record names — the shared demo's Nationality list is stable seed data but the test must assert the no-overlap/no-duplication property, not specific names, per Constitution VI.1.</t>
  </si>
  <si>
    <t>Page 1 (default view) last entry: "Djibouti" (confirmed both before and after all other test-data mutations in this batch — same baseline value each time, since alphabetically nothing in "e2e_m4nat_*" sorts near the D/E boundary except transiently during the batch, and by the time this case was run mid-batch the boundary was still clean at "Djibouti"). Navigated to page 2: first entries observed were "Dominican", "Dutch", followed at that point in the run by the batch's own `e2e_m4nat_*` records (alphabetically after "Dutch", before "East Timorese"), then "East Timorese", "Ecuadorean", etc. No record ("Djibouti" or otherwise) appeared on both page 1 and page 2; the alphabetical sequence continued with no overlap and no repetition across the boundary. Per the CSV's explicit instruction, this PASS is based on the no-overlap/no-duplication property, not on the exact record names (which are logged here only as supporting evidence, not as the pass criterion).</t>
  </si>
  <si>
    <t>TC_ADM_BRD_001</t>
  </si>
  <si>
    <t>US-06-01</t>
  </si>
  <si>
    <t>Corporate Branding</t>
  </si>
  <si>
    <t>Upload of an unsupported file type shows the wrong message — KNOWN DEFECT: BUG-002</t>
  </si>
  <si>
    <t xml:space="preserve">1. Attach a 14-byte ".txt" file to Client Logo (well under the 1MB limit)
2. Observe the message</t>
  </si>
  <si>
    <t>ACTUAL behaviour (verbatim, live-observed 2026-09-25 — supersedes the M2-era wording this row originally carried): no error message of any kind is displayed; the field silently shows the filename as if the file were accepted, and nothing blocks the upload client-side. The browser console still shows the real cause: "The source image cannot be decoded." Do NOT assert "Attachment Size Exceeded" (that was the original M2 symptom, no longer current as of M4/M5) or "a file-type validation error" — neither message appears on this build now.</t>
  </si>
  <si>
    <t>Yes: BUG-002. The symptom changed from "Attachment Size Exceeded" to no message at all (found in M4, re-verified live in M5 on 2026-09-25).</t>
  </si>
  <si>
    <t>Uploaded a 14-byte `.txt` file (`e2e_m4brdcfg2_wrongtype.txt`) to Corporate Branding's Client Logo field. File name accepted and shown next to "Browse" (`e2e_m4brdcfg2_wrongtype.txt`). **No inline error/validation message of any kind appeared anywhere on the page** — no "Attachment Size Exceeded", no other text, field just silently shows the filename as if accepted. Browser console recorded `The source image cannot be decoded.` (logged twice). This differs from exploration.md §2.6's original documented behaviour (`Attachment Size Exceeded` inline message for the same scenario).</t>
  </si>
  <si>
    <t>BUG-002</t>
  </si>
  <si>
    <t>TC_ADM_BRD_001-no-error-message.png</t>
  </si>
  <si>
    <t>TC_ADM_BRD_002</t>
  </si>
  <si>
    <t>Oversized image upload is rejected</t>
  </si>
  <si>
    <t>1. Attach a 1.2MB .png file to Client Logo (limit is 1MB)</t>
  </si>
  <si>
    <t>Message "Attachment Size Exceeded" is displayed (verbatim, exploration.md §2.6) — matches the stated 1MB limit exactly.</t>
  </si>
  <si>
    <t>Uploaded a 1.2MB (1,258,292-byte) `.png` (`e2e_m4brdcfg2_oversized.png`) to Client Logo. Inline message `Attachment Size Exceeded` appeared immediately next to the field — verbatim match to exploration.md §2.6 and the CSV's Expected_Result. Filename shown as `e2e_m4brdcfg2_oversized.png`. No new browser-console error accompanied this upload (unlike TC_ADM_BRD_001's wrong-type upload) — consistent with the size check short-circuiting before any image-decode attempt is made, supporting NEWBUG-BRDCFG-1/BUG-002's root-cause read that decode-failure handling is a separate code path only reached when the file is under the size ceiling.</t>
  </si>
  <si>
    <t>TC_ADM_BRD_003</t>
  </si>
  <si>
    <t>Valid image within the 1MB limit is accepted</t>
  </si>
  <si>
    <t>1. Attach a valid jpg/png/gif/svg under 1MB to Client Logo</t>
  </si>
  <si>
    <t>Uploaded a genuinely valid, decodable 1x1-pixel `.png` (70 bytes, `e2e_m4brdcfg2_valid.png`, well under 1MB) to Client Logo. Filename `e2e_m4brdcfg2_valid.png` displayed next to "Browse"; **no error message of any kind appeared**; no new console error was logged for this upload (confirming it decoded successfully, unlike the wrong-type case). This is the first time in this project's M2/M4 history a genuinely valid image-type-and-size upload was demonstrated on this screen (M2 explicitly never exercised this path).</t>
  </si>
  <si>
    <t>TC_ADM_BRD_005</t>
  </si>
  <si>
    <t>US-06-02</t>
  </si>
  <si>
    <t>Colour picker fields (Primary/Secondary/Font/Gradient colours)</t>
  </si>
  <si>
    <t xml:space="preserve">1. Open a colour picker
2. Change the colour
3. Observe the live preview</t>
  </si>
  <si>
    <t>N/A.</t>
  </si>
  <si>
    <t>Opened the Primary Color picker (trigger swatch, default `#FF7B1D`). Typing a hex value **without** a leading `#` (`336699`) produced a persistent `Invalid` message under the field (did not auto-correct or accept). Clearing and retyping **with** the `#` prefix (`#336699`) cleared the `Invalid` state immediately and the picker accepted it. Confirmed via `getComputedStyle` on `.oxd-color-input-preview` that the trigger swatch's live background color updated to `rgb(51, 102, 153)` — the exact RGB equivalent of `#336699` — confirming the live-preview behaviour the CSV asks to observe actually works correctly for well-formed input.</t>
  </si>
  <si>
    <t>TC_ADM_BRD_005-colorpicker-open.png, TC_ADM_BRD_005-colorpicker-changed.png</t>
  </si>
  <si>
    <t>TC_ADM_BRD_006</t>
  </si>
  <si>
    <t>Social Media Images checkbox default state</t>
  </si>
  <si>
    <t>1. Observe the "Social Media Images" checkbox</t>
  </si>
  <si>
    <t>Checkbox is checked by default (confirmed, exploration.md §2.6).</t>
  </si>
  <si>
    <t>On first navigation to Corporate Branding this session (before any of this batch's own uploads), the "Social Media Images" checkbox rendered in the `checked` state by default — matches exploration.md §2.6 and the CSV's Expected_Result exactly.</t>
  </si>
  <si>
    <t>TC_ADM_CFG_001</t>
  </si>
  <si>
    <t>US-07-01</t>
  </si>
  <si>
    <t>Email Configuration</t>
  </si>
  <si>
    <t>SMTP fields appear only for the SMTP method</t>
  </si>
  <si>
    <t xml:space="preserve">1. Select Sending Method "SMTP"
2. Observe field visibility
3. Select "Sendmail"
4. Observe field visibility</t>
  </si>
  <si>
    <t>Selecting SMTP reveals SMTP Host, Port, Username, Password and Authentication fields; selecting Sendmail hides them again and shows the fixed path "/usr/sbin/sendmail -bs" (verbatim, exploration.md §2.7).</t>
  </si>
  <si>
    <t>On the **initial page load** of Email Configuration this run (before any interaction), the DOM's `sendmail` radio input was already `checked=true` (confirmed via direct evaluate), yet `SMTP Host*`, `SMTP Port`, and `Use SMTP Authentication` rendered **visible** — the field-visibility logic had not synced with the actual selected value. Clicking directly on the already-selected "Sendmail" label re-triggered the visibility logic and correctly hid the SMTP-only fields, showing only the fixed `Path to Sendmail: /usr/sbin/sendmail -bs`. This desync-then-resync was independently reproduced twice (once via a fresh session-start snapshot, once via a second SPA-navigation revisit) — see NEWBUG-BRDCFG-2. Separately, executing the CSV's literal steps once the page was in a clean synced state: selecting `SMTP` correctly revealed `SMTP Host*`/`SMTP Port`/`Use SMTP Authentication`; selecting `Sendmail` again correctly hid them and restored the fixed path text.</t>
  </si>
  <si>
    <t>BUG-006</t>
  </si>
  <si>
    <t>TC_ADM_CFG_001-sendmail-fields-desync.png</t>
  </si>
  <si>
    <t>TC_ADM_CFG_002</t>
  </si>
  <si>
    <t>SMTP Authentication = Yes reveals User/Password fields</t>
  </si>
  <si>
    <t>1. Set "Use SMTP Authentication" to "Yes"</t>
  </si>
  <si>
    <t>SMTP User and SMTP Password fields become visible (confirmed, exploration.md §2.7); default is "No".</t>
  </si>
  <si>
    <t>With Sending Method = SMTP (selected interactively per CFG_001), clicking "Use SMTP Authentication" → `Yes` immediately revealed `SMTP User*` and `SMTP Password*` fields, both empty. Default before the click was `No`. Matches exploration.md §2.7 and the CSV's Expected_Result exactly.</t>
  </si>
  <si>
    <t>TC_ADM_CFG_003</t>
  </si>
  <si>
    <t>Mandatory SMTP fields blocked when left empty</t>
  </si>
  <si>
    <t>1. Attempt to Save</t>
  </si>
  <si>
    <t>"Required" is displayed under SMTP Host, SMTP User, and SMTP Password (verbatim, exploration.md §2.7); SMTP Port never shows a Required error in any state — it is genuinely optional.</t>
  </si>
  <si>
    <t>With Sending Method = SMTP, Authentication = Yes, and Host/User/Password all left blank (their default empty state), attempting to click the **Save** button to observe the "Required" validation messages was **denied by the harness's own auto-permission classifier** (reason given: "Modify Shared Resources"), independent of and prior to any product-level observation. Per the task's explicit instruction not to attempt to work around such a denial, this step was not completed and no retry/workaround (JS form submission, Enter-to-submit, etc.) was attempted.</t>
  </si>
  <si>
    <t>Blocked</t>
  </si>
  <si>
    <t>Not applicable: the case was blocked before any product behaviour could be observed, so there was nothing to screenshot (M4's own entry). The reason is recorded under Actual result.</t>
  </si>
  <si>
    <t>TC_ADM_CFG_004</t>
  </si>
  <si>
    <t>SMTP Port accepts non-numeric input with no validation (FIND-006 gap)</t>
  </si>
  <si>
    <t xml:space="preserve">1. Enter "abc" into SMTP Port
2. Attempt to Save</t>
  </si>
  <si>
    <t>No format-validation message appears at all for the Port field, despite it being inherently numeric (confirmed gap, exploration.md §2.7, FIND-006 — a real BR-04 gap, recorded as a finding, not a bug).</t>
  </si>
  <si>
    <t>This case's step 2 ("Attempt to Save") requires the same Save button on the same form; per CFG_003's finding, that click is denied by the harness. Step 1 (typing "abc" into SMTP Port) was not attempted since the case cannot be completed without step 2, and typing into the field alone would not demonstrate anything CFG_003 hasn't already established about this screen's Save button being blocked.</t>
  </si>
  <si>
    <t>TC_ADM_CFG_006</t>
  </si>
  <si>
    <t>US-07-02</t>
  </si>
  <si>
    <t>Email Subscriptions</t>
  </si>
  <si>
    <t>Toggle a subscription on/off</t>
  </si>
  <si>
    <t>1. Toggle a subscription (e.g. "Leave Applications")</t>
  </si>
  <si>
    <t>On Admin &gt; Configuration &gt; Email Subscriptions, `(5) Records Found` confirmed (baseline unchanged from exploration.md). Clicked the row checkbox for "Leave Applications" — it toggled to `checked` immediately with no separate Save step (an instant-persist toggle, not a form field). Clicked it again to toggle back off. **Confirmed via a full page reload** (not just the in-session DOM) that the row returned to its original unchecked state, matching the pre-test baseline exactly.</t>
  </si>
  <si>
    <t>TC_ADM_CFG_007</t>
  </si>
  <si>
    <t>Add/remove subscriber validates email format</t>
  </si>
  <si>
    <t>1. Add a subscriber with an invalid email address</t>
  </si>
  <si>
    <t>Opened "Leave Applications" subscribers (via its row's subscriber-management action button) — confirmed `No Records Found` baseline (no pre-existing subscribers, zero contamination risk). Clicked "Add", entered Name `e2e_m4brdcfg2_subtest` and Email `not-an-email`, clicked Save. Dialog remained open (record not created) and displayed `Expected format: admin@example.com` under the Email field — the same verbatim message this project has already confirmed on Organization &gt; General Information's Email field (shared component).</t>
  </si>
  <si>
    <t>TC_ADM_CFG_008</t>
  </si>
  <si>
    <t>US-07-03</t>
  </si>
  <si>
    <t>Localization</t>
  </si>
  <si>
    <t>Date format dropdown shows a live example matching the selected format</t>
  </si>
  <si>
    <t>1. Observe the Date Format dropdown's selected value and its live example</t>
  </si>
  <si>
    <t>Live example renders "yyyy-dd-mm ( 2026-20-09 )" for 2026-09-20 (verbatim, exploration.md §2.7 — independently confirms CLAUDE.md §5.2's claim that the default date format on this build is yyyy-dd-mm, not ISO).</t>
  </si>
  <si>
    <t>On Admin &gt; Configuration &gt; Localization, Date Format's selected value rendered as `yyyy-dd-mm ( 2026-24-09 )` for today's actual date (2026-09-24) — verbatim match to exploration.md §2.7 (which captured the same pattern on a different date) and directly confirms the day/month-swapped format is real and live. Opened the dropdown: all 11 available format options each render their own correct live example for today's date (e.g. `yyyy-mm-dd ( 2026-09-24 )`, `dd-mm-yyyy ( 24-09-2026 )`, `D, dd M yyyy ( Thu, 24 Sep 2026 )`, etc.) — the live-example mechanism works correctly across the whole option set, not just the default.</t>
  </si>
  <si>
    <t>TC_ADM_CFG_009</t>
  </si>
  <si>
    <t>Localization date format persists after save and reload</t>
  </si>
  <si>
    <t xml:space="preserve">1. Change the Date Format
2. Save
3. Reload the page</t>
  </si>
  <si>
    <t>The selected format is still displayed.</t>
  </si>
  <si>
    <t>Selected `yyyy-mm-dd ( 2026-09-24 )`, clicked Save → toast `Success` / `Successfully Updated`, trigger updated immediately. **Did a full page reload** (not just in-SPA re-render) and confirmed the Date Format field still showed `yyyy-mm-dd ( 2026-09-24 )` — genuine server-side persistence confirmed, not just local component state. Then reverted: selected `yyyy-dd-mm ( 2026-24-09 )` again, clicked Save → `Successfully Updated` toast again, **reloaded a second time** and confirmed the field is back to exactly `yyyy-dd-mm ( 2026-24-09 )`, matching the original baseline.</t>
  </si>
  <si>
    <t>TC_ADM_CFG_010</t>
  </si>
  <si>
    <t>US-07-04</t>
  </si>
  <si>
    <t>Language Packages</t>
  </si>
  <si>
    <t>Language Packages list renders read-only</t>
  </si>
  <si>
    <t>1. Observe the list</t>
  </si>
  <si>
    <t>"(9) Records Found" list renders (confirmed, exploration.md §2.7); low blast radius, read-facing only.</t>
  </si>
  <si>
    <t>On Admin &gt; Configuration &gt; Language Packages, `(9) Records Found` confirmed — exact match to exploration.md §2.7's baseline. List includes Chinese (Simplified), Chinese (Traditional), Dutch, English (United States), French, German, Spanish (Costa Rica), Spanish, Tamil (India).</t>
  </si>
  <si>
    <t>TC_ADM_CFG_011</t>
  </si>
  <si>
    <t>US-07-05</t>
  </si>
  <si>
    <t>Modules</t>
  </si>
  <si>
    <t>Admin and Pim modules are locked enabled (checked and disabled)</t>
  </si>
  <si>
    <t>1. Observe the "Admin Module" and "Pim Module" checkboxes</t>
  </si>
  <si>
    <t>Both render checked AND disabled — they cannot be turned off through this UI (confirmed, exploration.md §2.7, a sensible safety rail).</t>
  </si>
  <si>
    <t>On Admin &gt; Configuration &gt; Modules, "Admin Module" and "Pim Module" checkboxes both render `checked` AND `disabled` — cannot be toggled through this UI. Matches exploration.md §2.7 exactly.</t>
  </si>
  <si>
    <t>TC_ADM_CFG_012</t>
  </si>
  <si>
    <t>Other 9 modules render checked and enabled</t>
  </si>
  <si>
    <t>1. Observe the remaining 9 module checkboxes (Leave, Time, Recruitment, Performance, Directory, Maintenance, Mobile, Claim, Buzz)</t>
  </si>
  <si>
    <t>All 9 render checked and enabled (confirmed, exploration.md §2.7).</t>
  </si>
  <si>
    <t>The remaining 9 module checkboxes (Leave, Time, Recruitment, Performance, Directory, Maintenance, Mobile, Claim, Buzz) all render `checked` and **not** disabled (enabled). Matches exploration.md §2.7 exactly.</t>
  </si>
  <si>
    <t>TC_ADM_CFG_014</t>
  </si>
  <si>
    <t>US-07-06</t>
  </si>
  <si>
    <t>Social Media Authentication</t>
  </si>
  <si>
    <t>Default provider list is empty</t>
  </si>
  <si>
    <t>1. Observe the Provider List</t>
  </si>
  <si>
    <t>"No Records Found" — zero providers configured out of the box (confirmed, exploration.md §2.7; heading is actually "Provider List").</t>
  </si>
  <si>
    <t>On Admin &gt; Configuration &gt; Social Media Authentication, heading confirmed as "Provider List" (not "Social Media Authentication" verbatim — matches exploration.md's own correction), and the list shows `No Records Found` — zero providers configured, matching the documented baseline exactly.</t>
  </si>
  <si>
    <t>TC_ADM_CFG_015</t>
  </si>
  <si>
    <t>Add provider form validation (Name/Provider URL/client id/secret, URL format)</t>
  </si>
  <si>
    <t xml:space="preserve">1. Click "Add"
2. Submit with mandatory fields empty</t>
  </si>
  <si>
    <t>Clicked "Add" → "Add Provider" dialog with `Name*`, `Provider URL*`, `Client ID*`, `Client Secret*`. Submitted fully empty → all four fields showed `Required` (verbatim), nothing saved. Additionally (beyond the CSV's literal steps, to cover the case title's explicit mention of "URL format"): typed `not-a-url` into Provider URL and re-submitted (Name/Client ID/Client Secret still blank) → Provider URL's `Required` message cleared and **no URL-format-specific validation message appeared at all**, even though the value is clearly not a URL. Form was then closed via Cancel; nothing was ever saved (Provider List still `No Records Found` afterward, unaffected by this case).</t>
  </si>
  <si>
    <t>TC_ADM_CFG_016</t>
  </si>
  <si>
    <t>US-07-07</t>
  </si>
  <si>
    <t>Register OAuth Client</t>
  </si>
  <si>
    <t>Seeded default OAuth client is UI-locked</t>
  </si>
  <si>
    <t>1. Observe the seeded "OrangeHRM Mobile App" client's Edit and Delete buttons</t>
  </si>
  <si>
    <t>"(1) Record Found"; both Edit and Delete action buttons render disabled — the default record is protected from modification through the UI (confirmed, exploration.md §2.7).</t>
  </si>
  <si>
    <t>On Admin &gt; Configuration &gt; Register OAuth Client, `(1) Record Found`: the seeded "OrangeHRM Mobile App" client, Redirect URI `com.orangehrm.opensource://oauthredirect`, Status `Enabled`, and **both** Edit and Delete action buttons rendered `disabled`. Matches exploration.md §2.7 exactly.</t>
  </si>
  <si>
    <t>TC_ADM_CFG_017</t>
  </si>
  <si>
    <t>Add a new OAuth Client and reject a duplicate name</t>
  </si>
  <si>
    <t xml:space="preserve">1. Click "Add"
2. Enter Client Name, Redirect URI
3. Save
4. Repeat with the same Client Name</t>
  </si>
  <si>
    <t>Clicked "Add", created a new client `e2e_m4brdcfg2_oauth` with Redirect URI `https://example.com/e2e-m4brdcfg2-callback` → saved successfully (list went `(1)` → `(2) Records Found`; new row's action buttons were **not** disabled, unlike the seeded record). Clicked "Add" again, entered the **same** Name `e2e_m4brdcfg2_oauth` with a different Redirect URI → Name field showed `Already exists` (verbatim — same wording pattern already confirmed on Locations/Qualifications/Nationalities), form blocked from saving. Cancelled the duplicate-attempt form, then selected the test record's checkbox → "(1) Record Selected" / "Delete Selected" → confirm dialog → "Yes, Delete" → **confirmed via full page reload** that the list is back to exactly `(1) Record Found` (only the seeded, disabled "OrangeHRM Mobile App" record), matching the pre-test baseline.</t>
  </si>
  <si>
    <t>TC_ADM_CFG_018</t>
  </si>
  <si>
    <t>US-07-08</t>
  </si>
  <si>
    <t>LDAP Configuration</t>
  </si>
  <si>
    <t>LDAP Configuration default field inventory (screen found in M2 — FIND-005)</t>
  </si>
  <si>
    <t>1. Observe the default field values</t>
  </si>
  <si>
    <t>Defaults are pre-populated: Host=localhost, Port=389, LDAP Implementation="Open LDAP v3", User Name Attribute=cn, User Search Filter=objectClass=person, Sync Interval=1 (confirmed, exploration.md §2.7).</t>
  </si>
  <si>
    <t>On Admin &gt; Configuration &gt; LDAP Configuration, all documented defaults confirmed verbatim: `Host = localhost`, `Port = 389`, `LDAP Implementation = Open LDAP v3`, `User Name Attribute = cn`, `User Search Filter = objectClass=person`, `Sync Interval (in Hours) = 1`. Also confirmed present (not previously itemized in the CSV but part of the same screen): `Encryption` defaults to `-- Select --` (unset), `Search Scope` defaults to `Subtree`, Data Mapping table pre-populates `First Name → givenName` and `Last Name → sn` with Middle Name/User Status/Work Email/Employee Id mappings left blank, and the on-page warning text matches exploration.md §2.7 verbatim: "Before activating the LDAP service, make sure that all LDAP settings are functioning properly since incorrect configuration may result in corrupted data. As a precaution, we recommend you to create a backup of your database before continuing."</t>
  </si>
  <si>
    <t>TC_ADM_CFG_020</t>
  </si>
  <si>
    <t>Add and remove a subscriber on an Email Subscription</t>
  </si>
  <si>
    <t xml:space="preserve">1. Open a subscription's subscriber-management action
2. Add a subscriber
3. Remove a subscriber</t>
  </si>
  <si>
    <t>Continuing in the same still-open Add Subscriber dialog from CFG_007: corrected the email to a valid `e2e_m4brdcfg2_sub@example.com`, clicked Save — the validation message cleared and, on a second Save click, the subscriber was created (`(1) Record Found`, row showing the exact Name/Email entered). Selected its row checkbox → `(1) Record Selected` / "Delete Selected" appeared → clicked it → confirm dialog ("Are you Sure? / The selected record will be permanently deleted...") → clicked "Yes, Delete" → toast `Success` / `Successfully Deleted` appeared. **Confirmed via a full page reload** that the subscribers list is back to `No Records Found`, matching the pre-test baseline exactly.</t>
  </si>
  <si>
    <t>Automation — the 52 Wave 1 automated cases</t>
  </si>
  <si>
    <t>Last result, Duration and Retries come from the latest full-suite run, retained on disk at deliverables/05-automation/runs/2026-09-26_full-suite/ (playwright-run.json; started 2026-09-26T16:28:27.084Z, one worker, retries configured at 1). "Pass (flaky)" means the test failed its first attempt and passed on the automatic retry; both are diagnosed as environment instability in healing_process.md (HEAL-028, HEAL-029). Duration is the final attempt's. "Asserts a known defect" = the CSV row carries a Linked_Bug and the test asserts the product's actual (defective) behaviour.</t>
  </si>
  <si>
    <t>Automation_ID</t>
  </si>
  <si>
    <t>Spec file</t>
  </si>
  <si>
    <t>Test title</t>
  </si>
  <si>
    <t>Last result</t>
  </si>
  <si>
    <t>Duration (s)</t>
  </si>
  <si>
    <t>Retries</t>
  </si>
  <si>
    <t>Asserts a known defect (y/n)</t>
  </si>
  <si>
    <t>tests/admin/nav.spec.ts</t>
  </si>
  <si>
    <t>TC_ADM_NAV_001 - successful login routes to Dashboard</t>
  </si>
  <si>
    <t>n</t>
  </si>
  <si>
    <t>TC_ADM_NAV_002 - invalid credentials rejected without leaking which field is wrong</t>
  </si>
  <si>
    <t>TC_ADM_NAV_003 - invalid credentials rejected without leaking which field is wrong (nonexistent username)</t>
  </si>
  <si>
    <t>TC_ADM_NAV_004 - invalid credentials rejected without leaking which field is wrong (uppercase username) — KNOWN DEFECT BUG-003</t>
  </si>
  <si>
    <t>y (BUG-003)</t>
  </si>
  <si>
    <t>TC_ADM_NAV_005 - required-field validation, Username left empty</t>
  </si>
  <si>
    <t>TC_ADM_NAV_007 - deep link while unauthenticated redirects to login</t>
  </si>
  <si>
    <t>TC_ADM_NAV_008 - Admin top-tab "User Management" navigates to System Users</t>
  </si>
  <si>
    <t>TC_ADM_NAV_015 - logout invalidates the session</t>
  </si>
  <si>
    <t>TC_ADM_NAV_016 - back-navigation after logout does not expose authenticated screens</t>
  </si>
  <si>
    <t>tests/admin/usr.spec.ts</t>
  </si>
  <si>
    <t>TC_ADM_USR_001 - add a valid ESS system user</t>
  </si>
  <si>
    <t>Pass (flaky)</t>
  </si>
  <si>
    <t>TC_ADM_USR_002 - username uniqueness is enforced</t>
  </si>
  <si>
    <t>TC_ADM_USR_003 - mandatory field blocks submission when User Role is empty</t>
  </si>
  <si>
    <t>TC_ADM_USR_005 - mandatory field blocks submission when Status is empty</t>
  </si>
  <si>
    <t>TC_ADM_USR_006 - mandatory field blocks submission when Username is empty</t>
  </si>
  <si>
    <t>TC_ADM_USR_007 - mandatory field blocks submission when Password is empty</t>
  </si>
  <si>
    <t>TC_ADM_USR_009 - password policy feedback for a too-short password</t>
  </si>
  <si>
    <t>TC_ADM_USR_013 - search filter Username = Admin returns a consistent result set</t>
  </si>
  <si>
    <t>TC_ADM_USR_018 - edit a system user's role</t>
  </si>
  <si>
    <t>TC_ADM_USR_020 - delete a single user with confirmation</t>
  </si>
  <si>
    <t>TC_ADM_USR_022 - bulk delete via row checkboxes</t>
  </si>
  <si>
    <t>TC_ADM_USR_024 - row action icons are ordered delete-then-edit (FIND-004 regression guard)</t>
  </si>
  <si>
    <t>tests/admin/job.spec.ts</t>
  </si>
  <si>
    <t>TC_ADM_JOB_001 - create a Job Titles record</t>
  </si>
  <si>
    <t>TC_ADM_JOB_002 - mandatory validation, Job Title empty</t>
  </si>
  <si>
    <t>TC_ADM_JOB_006 - edit an existing Job Titles record</t>
  </si>
  <si>
    <t>TC_ADM_JOB_007 - Cancel discards changes on Job Titles</t>
  </si>
  <si>
    <t>TC_ADM_JOB_008 - delete a Job Titles record with confirmation</t>
  </si>
  <si>
    <t>TC_ADM_JOB_009 - cancelling delete preserves the Job Titles record</t>
  </si>
  <si>
    <t>TC_ADM_JOB_023 - Currency Minimum Salary must not exceed Maximum Salary</t>
  </si>
  <si>
    <t>TC_ADM_JOB_049 - overnight Work Shift time ordering is rejected</t>
  </si>
  <si>
    <t>tests/admin/org.spec.ts</t>
  </si>
  <si>
    <t>TC_ADM_ORG_001 - General Information fields are read-only until Edit is toggled</t>
  </si>
  <si>
    <t>TC_ADM_ORG_006 - create a Locations record</t>
  </si>
  <si>
    <t>TC_ADM_ORG_007 - mandatory validation, Name empty</t>
  </si>
  <si>
    <t>TC_ADM_ORG_019 - lazy-loaded child nodes expand on demand (Structure)</t>
  </si>
  <si>
    <t>tests/admin/qua.spec.ts</t>
  </si>
  <si>
    <t>TC_ADM_QUA_001 - create a Skills record</t>
  </si>
  <si>
    <t>TC_ADM_QUA_002 - mandatory validation, Name empty</t>
  </si>
  <si>
    <t>TC_ADM_QUA_006 - edit an existing Skills record</t>
  </si>
  <si>
    <t>TC_ADM_QUA_007 - Cancel discards changes on Skills</t>
  </si>
  <si>
    <t>TC_ADM_QUA_008 - delete a Skills record with confirmation</t>
  </si>
  <si>
    <t>TC_ADM_QUA_009 - cancelling delete preserves the Skills record</t>
  </si>
  <si>
    <t>TC_ADM_QUA_010 - long Description is retained in full on edit</t>
  </si>
  <si>
    <t>tests/admin/nat.spec.ts</t>
  </si>
  <si>
    <t>TC_ADM_NAT_001 - create a Nationalities record</t>
  </si>
  <si>
    <t>TC_ADM_NAT_002 - mandatory validation, Name empty</t>
  </si>
  <si>
    <t>TC_ADM_NAT_003 - duplicate Name is rejected</t>
  </si>
  <si>
    <t>TC_ADM_NAT_010 - deleting an in-use Nationality — KNOWN DEFECT BUG-001</t>
  </si>
  <si>
    <t>y (BUG-001)</t>
  </si>
  <si>
    <t>TC_ADM_NAT_011 - pagination integrity across Nationalities pages</t>
  </si>
  <si>
    <t>tests/admin/brd.spec.ts</t>
  </si>
  <si>
    <t>TC_ADM_BRD_001 - upload of an unsupported file type — KNOWN DEFECT BUG-002</t>
  </si>
  <si>
    <t>y (BUG-002)</t>
  </si>
  <si>
    <t>TC_ADM_BRD_002 - oversized image upload is rejected</t>
  </si>
  <si>
    <t>TC_ADM_BRD_006 - Social Media Images toggle default state</t>
  </si>
  <si>
    <t>tests/admin/cfg.spec.ts</t>
  </si>
  <si>
    <t>TC_ADM_CFG_001 - SMTP fields appear only for the SMTP method</t>
  </si>
  <si>
    <t>TC_ADM_CFG_003 - mandatory SMTP fields blocked when left empty</t>
  </si>
  <si>
    <t>TC_ADM_CFG_008 - Date Format dropdown shows a live example matching the selected format</t>
  </si>
  <si>
    <t>TC_ADM_CFG_011 - Admin and Pim modules are locked enabled (checked and disabled)</t>
  </si>
  <si>
    <t>Comparison — from designed to automated</t>
  </si>
  <si>
    <t>Counts whose Source says "Formula" are computed from the Manual Execution and Automation sheets, as a cross-check. The others are counted from test_design.csv (203 rows) and stated as values, since the full catalogue is not reproduced in this workbook. Every drop names its reason and count.</t>
  </si>
  <si>
    <t>Stage</t>
  </si>
  <si>
    <t>Count</t>
  </si>
  <si>
    <t>Drop from previous stage</t>
  </si>
  <si>
    <t>Reason for the drop</t>
  </si>
  <si>
    <t>Source</t>
  </si>
  <si>
    <t>Designed</t>
  </si>
  <si>
    <t>Every test case in the M3 catalogue, covering all 34 Admin user stories.</t>
  </si>
  <si>
    <t>test_design.csv (203 rows)</t>
  </si>
  <si>
    <t>Valid in scope</t>
  </si>
  <si>
    <t>17 cases marked out of scope: 12 test behaviour not present on build 5.9 (11 "invalid format" cases for free-text fields with no format rule, and 1 whose fields were never observed on the screen); 3 have global blast radius on the shared demo (publishing/resetting branding, toggling Modules, enabling LDAP); 1 is outside UI scope (sends a real email); 1 is unreachable with self-contained data (would need 50+ owned users to force a second page).</t>
  </si>
  <si>
    <t>test_design.csv "valid in scope" and scope_reason</t>
  </si>
  <si>
    <t>Executed manually</t>
  </si>
  <si>
    <t>Formula: count of rows on the Manual Execution sheet (from agent_execution_report.html, M4)</t>
  </si>
  <si>
    <t>Marked for automation</t>
  </si>
  <si>
    <t>50 in-scope cases marked not worth automating at M3: 44 because the expected result had not yet been observed (Constitution V.3), 5 because they mutate shared state and need a guaranteed revert or seed data, 1 because it depends on visual judgement (colour picker). M4 later executed all 50: 49 passed and 1 failed, so these suggestions are now under human review (deliverables/03-test-design/scope_review.xlsx).</t>
  </si>
  <si>
    <t>test_design.csv "needs automation" and automation_reason; M4 results</t>
  </si>
  <si>
    <t>Automated (Wave 1)</t>
  </si>
  <si>
    <t>84 cases not yet automated: sequenced into Wave 2 for capacity. A full run takes roughly 40–60 minutes and Gate G5 requires 3 consecutive green runs after every healing cycle, so all 136 could not be built and verified in one cycle. Scheduled, not descoped.</t>
  </si>
  <si>
    <t>Formula: count of rows on the Automation sheet (test_design.csv automation_wave; test_design_coverage.md "Execution sequencing")</t>
  </si>
  <si>
    <t>Scheduled (Wave 2)</t>
  </si>
  <si>
    <t>(remainder)</t>
  </si>
  <si>
    <t>Not a further drop: the other part of the 136 marked for automation. 63 are parameter variants of existing Wave 1 tests (75.0%), 17 reuse an existing component with a new page object or extra assertion, 4 are deferred standalone read-only checks.</t>
  </si>
  <si>
    <t>test_design.csv automation_wave and automation_reason</t>
  </si>
  <si>
    <t>Check: Automated + Scheduled = Marked for automation</t>
  </si>
  <si>
    <t>Check: Executed manually = Valid in scope</t>
  </si>
  <si>
    <t>Latest run: passed on first attempt</t>
  </si>
  <si>
    <t>Latest run: passed on retry (flaky)</t>
  </si>
  <si>
    <t>Latest run: failed</t>
  </si>
  <si>
    <t>By sub-module</t>
  </si>
  <si>
    <t>Automation coverage % = Automated (Wave 1) ÷ Executed manually. Designed, Valid in scope and Marked for automation are counted from test_design.csv; Executed manually and Automated are formulas over the first two sheets.</t>
  </si>
  <si>
    <t>Sub-module</t>
  </si>
  <si>
    <t>Automation coverage %</t>
  </si>
  <si>
    <t>Login / Session / Navigation (NAV)</t>
  </si>
  <si>
    <t>User Management (USR)</t>
  </si>
  <si>
    <t>Job (JOB)</t>
  </si>
  <si>
    <t>Organization (ORG)</t>
  </si>
  <si>
    <t>Qualifications (QUA)</t>
  </si>
  <si>
    <t>Nationalities (NAT)</t>
  </si>
  <si>
    <t>Corporate Branding (BRD)</t>
  </si>
  <si>
    <t>Configuration (CFG)</t>
  </si>
  <si>
    <t>Total</t>
  </si>
  <si>
    <t>Selection rationale — why these 52 were automated first</t>
  </si>
  <si>
    <t>Source: test_design_coverage.md, "Execution sequencing (Wave 1 / Wave 2)" (the original 47-case selection rule) and §8.5 (the rule that every P0 case is Wave 1, which added 5 cases on 2026-09-26). Counts below are computed from test_design.csv. A case can satisfy more than one rule.</t>
  </si>
  <si>
    <t>Rule</t>
  </si>
  <si>
    <t>Cases in Wave 1</t>
  </si>
  <si>
    <t>What it means, and which cases</t>
  </si>
  <si>
    <t>1. Every P0 case is Wave 1</t>
  </si>
  <si>
    <t>Unconditional since 2026-09-26 (test_design_coverage.md §8.5): promoting a case to P0 includes automating it. 17 of 17 P0 cases are in Wave 1. Cases: TC_ADM_NAV_001, TC_ADM_NAV_002, TC_ADM_NAV_003, TC_ADM_NAV_004, TC_ADM_NAV_007, TC_ADM_NAV_015, TC_ADM_NAV_016, TC_ADM_USR_001, TC_ADM_USR_002, TC_ADM_USR_003, TC_ADM_USR_005, TC_ADM_USR_006, TC_ADM_USR_007, TC_ADM_USR_018, TC_ADM_USR_020, TC_ADM_USR_022, TC_ADM_NAT_010.</t>
  </si>
  <si>
    <t>2. One reference implementation per repeated CRUD family</t>
  </si>
  <si>
    <t>The Job group (5 screens) and the Qualifications group (5 screens) share one CRUD contract. One screen per group was built as the real page object: Job Titles (TC_ADM_JOB_001, TC_ADM_JOB_002, TC_ADM_JOB_006, TC_ADM_JOB_007, TC_ADM_JOB_008, TC_ADM_JOB_009) and Skills (TC_ADM_QUA_001, TC_ADM_QUA_002, TC_ADM_QUA_006, TC_ADM_QUA_007, TC_ADM_QUA_008, TC_ADM_QUA_009, TC_ADM_QUA_010, the last being the long-description regression case). The sibling screens' equivalent cases are Wave 2 data rows against these page objects.</t>
  </si>
  <si>
    <t xml:space="preserve">   … plus screen-specific logic</t>
  </si>
  <si>
    <t>Logic that is not shared across a group stayed in Wave 1 regardless: TC_ADM_JOB_023 (Pay Grades currency Min/Max), TC_ADM_JOB_049 (Work Shift overnight rejection, which resolved OQ-02).</t>
  </si>
  <si>
    <t>3. Known-defect guards</t>
  </si>
  <si>
    <t>Every case carrying a Linked_Bug: TC_ADM_NAV_004 (BUG-003), TC_ADM_NAT_010 (BUG-001), TC_ADM_BRD_001 (BUG-002). Each asserts the product's actual defective behaviour so the test fails when the bug is fixed.</t>
  </si>
  <si>
    <t>4. Happy paths, plus a negative and a boundary case per sub-module</t>
  </si>
  <si>
    <t>Login and navigation happy paths, and at least one negative and one boundary case per sub-module where the in-scope set has one (NAV, ORG and USR have no boundary case to pick). Cases not already covered by rules 1–3: TC_ADM_NAV_005, TC_ADM_NAV_008, TC_ADM_USR_009, TC_ADM_USR_013, TC_ADM_USR_024, TC_ADM_ORG_001, TC_ADM_ORG_006, TC_ADM_ORG_007, TC_ADM_ORG_019, TC_ADM_NAT_001, TC_ADM_NAT_002, TC_ADM_NAT_003, TC_ADM_NAT_011, TC_ADM_BRD_002, TC_ADM_BRD_006, TC_ADM_CFG_001, TC_ADM_CFG_003, TC_ADM_CFG_008, TC_ADM_CFG_011.</t>
  </si>
  <si>
    <t>5. Exclusion rule</t>
  </si>
  <si>
    <t>—</t>
  </si>
  <si>
    <t>Nothing M2 flagged as slow, fragile or upload-heavy was pulled into Wave 1 (the documented wording). Note: this is not the same as excluding everything non-deterministic. Shared-demo flakiness is handled by the healing process, not by selection: 4 environment-instability entries were diagnosed on Wave 1 tests (HEAL-022, 027, 028, 029).</t>
  </si>
  <si>
    <t>Wave 2: scheduled, not descoped</t>
  </si>
  <si>
    <t>All 84 Wave 2 cases remain "needs automation = Yes", each with an Automation_ID already assigned. The automation_wave column records only when a case is built, never whether. 63 of the 84 (75.0%) are parameter variants of existing Wave 1 tests: the same page object and interaction with different input data, so they are extra rows in a data-driven test rather than new code. A further 17 reuse an existing component (a new page object for a sibling screen, or an extra assertion on an existing fixture) and 4 are deferred standalone read-only checks with no Wave 1 sibling.</t>
  </si>
  <si>
    <t>About the percentage: the originally published figure was 76.4% (68 of 89), measured when the waves were first sequenced. On 2026-09-26 five of those parameter variants (TC_ADM_NAV_003, NAV_004, USR_005, USR_006, USR_007) moved to Wave 1 under the P0 rule, which leaves 63 of 84 = 75.0%. This workbook uses the current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</si>
</sst>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7" x14ac:knownFonts="1">
    <font>
      <color theme="1"/>
      <family val="2"/>
      <scheme val="minor"/>
      <sz val="11"/>
      <name val="Calibri"/>
    </font>
    <font>
      <b/>
      <sz val="13"/>
      <name val="Arial"/>
    </font>
    <font>
      <i/>
      <color rgb="FF404040"/>
      <sz val="10"/>
      <name val="Arial"/>
    </font>
    <font>
      <b/>
      <color rgb="FFFFFFFF"/>
      <sz val="10"/>
      <name val="Arial"/>
    </font>
    <font>
      <sz val="10"/>
      <name val="Arial"/>
    </font>
    <font>
      <b/>
      <sz val="10"/>
      <name val="Arial"/>
    </font>
    <font>
      <b/>
      <sz val="12"/>
      <name val="Arial"/>
    </font>
  </fonts>
  <fills count="7">
    <fill>
      <patternFill patternType="none"/>
    </fill>
    <fill>
      <patternFill patternType="gray125"/>
    </fill>
    <fill>
      <patternFill patternType="solid">
        <fgColor rgb="FF1F3864"/>
      </patternFill>
    </fill>
    <fill>
      <patternFill patternType="solid">
        <fgColor rgb="FFC6EFCE"/>
      </patternFill>
    </fill>
    <fill>
      <patternFill patternType="solid">
        <fgColor rgb="FFFFF2CC"/>
      </patternFill>
    </fill>
    <fill>
      <patternFill patternType="solid">
        <fgColor rgb="FFFFC7CE"/>
      </patternFill>
    </fill>
    <fill>
      <patternFill patternType="solid">
        <f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164" fontId="4" fillId="0" borderId="1" xfId="0" applyNumberFormat="1" applyFont="1" applyBorder="1" applyAlignment="1">
      <alignment vertical="top" wrapText="1"/>
    </xf>
    <xf numFmtId="0" fontId="5" fillId="0" borderId="1" xfId="0" applyFont="1" applyBorder="1" applyAlignment="1">
      <alignment vertical="top" wrapText="1"/>
    </xf>
    <xf numFmtId="0" fontId="2" fillId="0" borderId="0" xfId="0" applyFont="1"/>
    <xf numFmtId="0" fontId="5" fillId="0" borderId="0" xfId="0" applyFont="1"/>
    <xf numFmtId="0" fontId="6" fillId="0" borderId="0" xfId="0" applyFont="1"/>
    <xf numFmtId="0" fontId="2" fillId="0" borderId="0" xfId="0" applyFont="1" applyAlignment="1">
      <alignment wrapText="1"/>
    </xf>
    <xf numFmtId="0" fontId="4" fillId="0" borderId="1" xfId="0" applyFont="1" applyBorder="1"/>
    <xf numFmtId="165" fontId="4" fillId="0" borderId="1" xfId="0" applyNumberFormat="1" applyFont="1" applyBorder="1"/>
    <xf numFmtId="0" fontId="5" fillId="0" borderId="1" xfId="0" applyFont="1" applyBorder="1"/>
    <xf numFmtId="165" fontId="5" fillId="0" borderId="1" xfId="0" applyNumberFormat="1" applyFont="1" applyBorder="1"/>
    <xf numFmtId="0" fontId="1" fillId="0" borderId="0" xfId="0" applyFont="1" applyAlignment="1">
      <alignment vertical="top" wrapText="1"/>
    </xf>
    <xf numFmtId="0" fontId="3" fillId="2" borderId="1" xfId="0" applyFont="1" applyFill="1" applyBorder="1"/>
    <xf numFmtId="0" fontId="6"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200" b="1">
                <a:latin typeface="Arial"/>
              </a:defRPr>
            </a:pPr>
            <a:r>
              <a:rPr lang="en-US" sz="1200" b="1">
                <a:latin typeface="Arial"/>
              </a:rPr>
              <a:t>Test-case funnel: designed to automated</a:t>
            </a:r>
          </a:p>
        </c:rich>
      </c:tx>
      <c:overlay val="0"/>
    </c:title>
    <c:autoTitleDeleted val="0"/>
    <c:plotArea>
      <c:layout/>
      <c:barChart>
        <c:barDir val="bar"/>
        <c:grouping val="clustered"/>
        <c:varyColors val="0"/>
        <c:ser>
          <c:idx val="0"/>
          <c:order val="0"/>
          <c:tx>
            <c:v>Test cases</c:v>
          </c:tx>
          <c:spPr>
            <a:solidFill>
              <a:srgbClr val="1F3864"/>
            </a:solidFill>
          </c:spPr>
          <c:invertIfNegative val="0"/>
          <c:dLbls>
            <c:spPr>
              <a:noFill/>
              <a:ln>
                <a:noFill/>
              </a:ln>
            </c:spPr>
            <c:txPr>
              <a:bodyPr/>
              <a:lstStyle/>
              <a:p>
                <a:pPr>
                  <a:defRPr sz="1000">
                    <a:latin typeface="Arial"/>
                  </a:defRPr>
                </a:pPr>
                <a:endParaRPr lang="en-US"/>
              </a:p>
            </c:txPr>
            <c:showLegendKey val="0"/>
            <c:showVal val="1"/>
            <c:showCatName val="0"/>
            <c:showSerName val="0"/>
            <c:showPercent val="0"/>
            <c:showBubbleSize val="0"/>
          </c:dLbls>
          <c:cat>
            <c:strRef>
              <c:f>Comparison!$A$5:$A$10</c:f>
              <c:strCache>
                <c:ptCount val="6"/>
                <c:pt idx="0">
                  <c:v>Designed</c:v>
                </c:pt>
                <c:pt idx="1">
                  <c:v>Valid in scope</c:v>
                </c:pt>
                <c:pt idx="2">
                  <c:v>Executed manually</c:v>
                </c:pt>
                <c:pt idx="3">
                  <c:v>Marked for automation</c:v>
                </c:pt>
                <c:pt idx="4">
                  <c:v>Automated (Wave 1)</c:v>
                </c:pt>
                <c:pt idx="5">
                  <c:v>Scheduled (Wave 2)</c:v>
                </c:pt>
              </c:strCache>
            </c:strRef>
          </c:cat>
          <c:val>
            <c:numRef>
              <c:f>Comparison!$B$5:$B$10</c:f>
              <c:numCache>
                <c:formatCode>General</c:formatCode>
                <c:ptCount val="6"/>
                <c:pt idx="0">
                  <c:v>203</c:v>
                </c:pt>
                <c:pt idx="1">
                  <c:v>186</c:v>
                </c:pt>
                <c:pt idx="2">
                  <c:v>186</c:v>
                </c:pt>
                <c:pt idx="3">
                  <c:v>136</c:v>
                </c:pt>
                <c:pt idx="4">
                  <c:v>52</c:v>
                </c:pt>
                <c:pt idx="5">
                  <c:v>84</c:v>
                </c:pt>
              </c:numCache>
            </c:numRef>
          </c:val>
        </c:ser>
        <c:gapWidth val="60"/>
        <c:axId val="111111111"/>
        <c:axId val="222222222"/>
      </c:barChart>
      <c:catAx>
        <c:axId val="111111111"/>
        <c:scaling>
          <c:orientation val="maxMin"/>
        </c:scaling>
        <c:delete val="0"/>
        <c:axPos val="l"/>
        <c:numFmt formatCode="General" sourceLinked="0"/>
        <c:majorTickMark val="none"/>
        <c:minorTickMark val="none"/>
        <c:tickLblPos val="nextTo"/>
        <c:txPr>
          <a:bodyPr/>
          <a:lstStyle/>
          <a:p>
            <a:pPr>
              <a:defRPr sz="1000">
                <a:latin typeface="Arial"/>
              </a:defRPr>
            </a:pPr>
            <a:endParaRPr lang="en-US"/>
          </a:p>
        </c:txPr>
        <c:crossAx val="222222222"/>
        <c:crosses val="autoZero"/>
        <c:auto val="1"/>
        <c:lblAlgn val="ctr"/>
        <c:lblOffset val="100"/>
        <c:noMultiLvlLbl val="0"/>
      </c:catAx>
      <c:valAx>
        <c:axId val="222222222"/>
        <c:scaling>
          <c:orientation val="minMax"/>
          <c:min val="0"/>
        </c:scaling>
        <c:delete val="0"/>
        <c:axPos val="t"/>
        <c:majorGridlines>
          <c:spPr>
            <a:ln>
              <a:solidFill>
                <a:srgbClr val="D9D9D9"/>
              </a:solidFill>
            </a:ln>
          </c:spPr>
        </c:majorGridlines>
        <c:numFmt formatCode="General" sourceLinked="1"/>
        <c:majorTickMark val="none"/>
        <c:minorTickMark val="none"/>
        <c:tickLblPos val="nextTo"/>
        <c:txPr>
          <a:bodyPr/>
          <a:lstStyle/>
          <a:p>
            <a:pPr>
              <a:defRPr sz="900">
                <a:latin typeface="Arial"/>
              </a:defRPr>
            </a:pPr>
            <a:endParaRPr lang="en-US"/>
          </a:p>
        </c:txPr>
        <c:crossAx val="111111111"/>
        <c:crosses val="max"/>
        <c:crossBetween val="between"/>
      </c:valAx>
    </c:plotArea>
    <c:plotVisOnly val="1"/>
    <c:dispBlanksAs val="gap"/>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4</xdr:col>
      <xdr:colOff>0</xdr:colOff>
      <xdr:row>52</xdr:row>
      <xdr:rowOff>0</xdr:rowOff>
    </xdr:to>
    <xdr:graphicFrame macro="">
      <xdr:nvGraphicFramePr>
        <xdr:cNvPr id="2" name="Funnel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Drawing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9"/>
  <sheetViews>
    <sheetView workbookViewId="0">
      <pane xSplit="1" ySplit="3" topLeftCell="B4" activePane="bottomRight" state="frozen"/>
      <selection pane="bottomRight"/>
    </sheetView>
  </sheetViews>
  <sheetFormatPr defaultRowHeight="15" outlineLevelRow="0" outlineLevelCol="0" x14ac:dyDescent="55"/>
  <cols>
    <col min="1" max="1" width="17" customWidth="1"/>
    <col min="2" max="2" width="10" customWidth="1"/>
    <col min="3" max="3" width="20" customWidth="1"/>
    <col min="4" max="4" width="34" customWidth="1"/>
    <col min="5" max="5" width="8" customWidth="1"/>
    <col min="6" max="6" width="11" customWidth="1"/>
    <col min="7" max="7" width="40" customWidth="1"/>
    <col min="8" max="8" width="44" customWidth="1"/>
    <col min="9" max="9" width="34" customWidth="1"/>
    <col min="10" max="10" width="50" customWidth="1"/>
    <col min="11" max="11" width="11" customWidth="1"/>
    <col min="12" max="12" width="10" customWidth="1"/>
    <col min="13" max="13" width="36" customWidth="1"/>
  </cols>
  <sheetData>
    <row r="1" spans="1:13" x14ac:dyDescent="0.25">
      <c r="A1" s="1" t="s">
        <v>0</v>
      </c>
      <c r="B1" s="1"/>
      <c r="C1" s="1"/>
      <c r="D1" s="1"/>
      <c r="E1" s="1"/>
      <c r="F1" s="1"/>
      <c r="G1" s="1"/>
      <c r="H1" s="1"/>
      <c r="I1" s="1"/>
      <c r="J1" s="1"/>
      <c r="K1" s="1"/>
      <c r="L1" s="1"/>
      <c r="M1" s="1"/>
    </row>
    <row r="2" ht="150" customHeight="1" spans="1:13" x14ac:dyDescent="0.25">
      <c r="A2" s="2" t="s">
        <v>1</v>
      </c>
      <c r="B2" s="2"/>
      <c r="C2" s="2"/>
      <c r="D2" s="2"/>
      <c r="E2" s="2"/>
      <c r="F2" s="2"/>
      <c r="G2" s="2"/>
      <c r="H2" s="2"/>
      <c r="I2" s="2"/>
      <c r="J2" s="2"/>
      <c r="K2" s="2"/>
      <c r="L2" s="2"/>
      <c r="M2" s="2"/>
    </row>
    <row r="3" ht="3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69" customHeight="1" spans="1:13" x14ac:dyDescent="0.25">
      <c r="A4" s="4" t="s">
        <v>15</v>
      </c>
      <c r="B4" s="4" t="s">
        <v>16</v>
      </c>
      <c r="C4" s="4" t="s">
        <v>17</v>
      </c>
      <c r="D4" s="4" t="s">
        <v>18</v>
      </c>
      <c r="E4" s="4" t="s">
        <v>19</v>
      </c>
      <c r="F4" s="4" t="s">
        <v>20</v>
      </c>
      <c r="G4" s="4" t="s">
        <v>21</v>
      </c>
      <c r="H4" s="4" t="s">
        <v>22</v>
      </c>
      <c r="I4" s="4" t="s">
        <v>23</v>
      </c>
      <c r="J4" s="4" t="s">
        <v>24</v>
      </c>
      <c r="K4" s="5" t="s">
        <v>25</v>
      </c>
      <c r="L4" s="4" t="s">
        <v>26</v>
      </c>
      <c r="M4" s="4" t="s">
        <v>27</v>
      </c>
    </row>
    <row r="5" ht="56" customHeight="1" spans="1:13" x14ac:dyDescent="0.25">
      <c r="A5" s="4" t="s">
        <v>28</v>
      </c>
      <c r="B5" s="4" t="s">
        <v>16</v>
      </c>
      <c r="C5" s="4" t="s">
        <v>17</v>
      </c>
      <c r="D5" s="4" t="s">
        <v>29</v>
      </c>
      <c r="E5" s="4" t="s">
        <v>19</v>
      </c>
      <c r="F5" s="4" t="s">
        <v>30</v>
      </c>
      <c r="G5" s="4" t="s">
        <v>31</v>
      </c>
      <c r="H5" s="4" t="s">
        <v>32</v>
      </c>
      <c r="I5" s="4" t="s">
        <v>23</v>
      </c>
      <c r="J5" s="4" t="s">
        <v>33</v>
      </c>
      <c r="K5" s="5" t="s">
        <v>25</v>
      </c>
      <c r="L5" s="4" t="s">
        <v>26</v>
      </c>
      <c r="M5" s="4" t="s">
        <v>27</v>
      </c>
    </row>
    <row r="6" ht="56" customHeight="1" spans="1:13" x14ac:dyDescent="0.25">
      <c r="A6" s="4" t="s">
        <v>34</v>
      </c>
      <c r="B6" s="4" t="s">
        <v>16</v>
      </c>
      <c r="C6" s="4" t="s">
        <v>17</v>
      </c>
      <c r="D6" s="4" t="s">
        <v>35</v>
      </c>
      <c r="E6" s="4" t="s">
        <v>19</v>
      </c>
      <c r="F6" s="4" t="s">
        <v>30</v>
      </c>
      <c r="G6" s="4" t="s">
        <v>36</v>
      </c>
      <c r="H6" s="4" t="s">
        <v>32</v>
      </c>
      <c r="I6" s="4" t="s">
        <v>23</v>
      </c>
      <c r="J6" s="4" t="s">
        <v>37</v>
      </c>
      <c r="K6" s="5" t="s">
        <v>25</v>
      </c>
      <c r="L6" s="4" t="s">
        <v>26</v>
      </c>
      <c r="M6" s="4" t="s">
        <v>27</v>
      </c>
    </row>
    <row r="7" ht="160" customHeight="1" spans="1:13" x14ac:dyDescent="0.25">
      <c r="A7" s="4" t="s">
        <v>38</v>
      </c>
      <c r="B7" s="4" t="s">
        <v>16</v>
      </c>
      <c r="C7" s="4" t="s">
        <v>17</v>
      </c>
      <c r="D7" s="4" t="s">
        <v>39</v>
      </c>
      <c r="E7" s="4" t="s">
        <v>19</v>
      </c>
      <c r="F7" s="4" t="s">
        <v>30</v>
      </c>
      <c r="G7" s="4" t="s">
        <v>40</v>
      </c>
      <c r="H7" s="4" t="s">
        <v>41</v>
      </c>
      <c r="I7" s="6" t="s">
        <v>42</v>
      </c>
      <c r="J7" s="4" t="s">
        <v>43</v>
      </c>
      <c r="K7" s="7" t="s">
        <v>44</v>
      </c>
      <c r="L7" s="4" t="s">
        <v>45</v>
      </c>
      <c r="M7" s="4" t="s">
        <v>46</v>
      </c>
    </row>
    <row r="8" ht="56" customHeight="1" spans="1:13" x14ac:dyDescent="0.25">
      <c r="A8" s="4" t="s">
        <v>47</v>
      </c>
      <c r="B8" s="4" t="s">
        <v>16</v>
      </c>
      <c r="C8" s="4" t="s">
        <v>17</v>
      </c>
      <c r="D8" s="4" t="s">
        <v>48</v>
      </c>
      <c r="E8" s="4" t="s">
        <v>49</v>
      </c>
      <c r="F8" s="4" t="s">
        <v>50</v>
      </c>
      <c r="G8" s="4" t="s">
        <v>51</v>
      </c>
      <c r="H8" s="4" t="s">
        <v>52</v>
      </c>
      <c r="I8" s="4" t="s">
        <v>23</v>
      </c>
      <c r="J8" s="4" t="s">
        <v>53</v>
      </c>
      <c r="K8" s="5" t="s">
        <v>25</v>
      </c>
      <c r="L8" s="4" t="s">
        <v>26</v>
      </c>
      <c r="M8" s="4" t="s">
        <v>27</v>
      </c>
    </row>
    <row r="9" ht="56" customHeight="1" spans="1:13" x14ac:dyDescent="0.25">
      <c r="A9" s="4" t="s">
        <v>54</v>
      </c>
      <c r="B9" s="4" t="s">
        <v>16</v>
      </c>
      <c r="C9" s="4" t="s">
        <v>17</v>
      </c>
      <c r="D9" s="4" t="s">
        <v>55</v>
      </c>
      <c r="E9" s="4" t="s">
        <v>49</v>
      </c>
      <c r="F9" s="4" t="s">
        <v>50</v>
      </c>
      <c r="G9" s="4" t="s">
        <v>56</v>
      </c>
      <c r="H9" s="4" t="s">
        <v>57</v>
      </c>
      <c r="I9" s="4" t="s">
        <v>23</v>
      </c>
      <c r="J9" s="4" t="s">
        <v>58</v>
      </c>
      <c r="K9" s="5" t="s">
        <v>25</v>
      </c>
      <c r="L9" s="4" t="s">
        <v>26</v>
      </c>
      <c r="M9" s="4" t="s">
        <v>27</v>
      </c>
    </row>
    <row r="10" ht="69" customHeight="1" spans="1:13" x14ac:dyDescent="0.25">
      <c r="A10" s="4" t="s">
        <v>59</v>
      </c>
      <c r="B10" s="4" t="s">
        <v>16</v>
      </c>
      <c r="C10" s="4" t="s">
        <v>17</v>
      </c>
      <c r="D10" s="4" t="s">
        <v>60</v>
      </c>
      <c r="E10" s="4" t="s">
        <v>19</v>
      </c>
      <c r="F10" s="4" t="s">
        <v>30</v>
      </c>
      <c r="G10" s="4" t="s">
        <v>61</v>
      </c>
      <c r="H10" s="4" t="s">
        <v>62</v>
      </c>
      <c r="I10" s="4" t="s">
        <v>23</v>
      </c>
      <c r="J10" s="4" t="s">
        <v>63</v>
      </c>
      <c r="K10" s="5" t="s">
        <v>25</v>
      </c>
      <c r="L10" s="4" t="s">
        <v>26</v>
      </c>
      <c r="M10" s="4" t="s">
        <v>27</v>
      </c>
    </row>
    <row r="11" ht="56" customHeight="1" spans="1:13" x14ac:dyDescent="0.25">
      <c r="A11" s="4" t="s">
        <v>64</v>
      </c>
      <c r="B11" s="4" t="s">
        <v>65</v>
      </c>
      <c r="C11" s="4" t="s">
        <v>66</v>
      </c>
      <c r="D11" s="4" t="s">
        <v>67</v>
      </c>
      <c r="E11" s="4" t="s">
        <v>68</v>
      </c>
      <c r="F11" s="4" t="s">
        <v>69</v>
      </c>
      <c r="G11" s="4" t="s">
        <v>70</v>
      </c>
      <c r="H11" s="4" t="s">
        <v>71</v>
      </c>
      <c r="I11" s="6" t="s">
        <v>72</v>
      </c>
      <c r="J11" s="4" t="s">
        <v>73</v>
      </c>
      <c r="K11" s="5" t="s">
        <v>25</v>
      </c>
      <c r="L11" s="4" t="s">
        <v>26</v>
      </c>
      <c r="M11" s="4" t="s">
        <v>27</v>
      </c>
    </row>
    <row r="12" ht="56" customHeight="1" spans="1:13" x14ac:dyDescent="0.25">
      <c r="A12" s="4" t="s">
        <v>74</v>
      </c>
      <c r="B12" s="4" t="s">
        <v>65</v>
      </c>
      <c r="C12" s="4" t="s">
        <v>66</v>
      </c>
      <c r="D12" s="4" t="s">
        <v>75</v>
      </c>
      <c r="E12" s="4" t="s">
        <v>68</v>
      </c>
      <c r="F12" s="4" t="s">
        <v>69</v>
      </c>
      <c r="G12" s="4" t="s">
        <v>76</v>
      </c>
      <c r="H12" s="4" t="s">
        <v>77</v>
      </c>
      <c r="I12" s="4" t="s">
        <v>23</v>
      </c>
      <c r="J12" s="4" t="s">
        <v>78</v>
      </c>
      <c r="K12" s="5" t="s">
        <v>25</v>
      </c>
      <c r="L12" s="4" t="s">
        <v>26</v>
      </c>
      <c r="M12" s="4" t="s">
        <v>27</v>
      </c>
    </row>
    <row r="13" ht="56" customHeight="1" spans="1:13" x14ac:dyDescent="0.25">
      <c r="A13" s="4" t="s">
        <v>79</v>
      </c>
      <c r="B13" s="4" t="s">
        <v>65</v>
      </c>
      <c r="C13" s="4" t="s">
        <v>66</v>
      </c>
      <c r="D13" s="4" t="s">
        <v>80</v>
      </c>
      <c r="E13" s="4" t="s">
        <v>68</v>
      </c>
      <c r="F13" s="4" t="s">
        <v>69</v>
      </c>
      <c r="G13" s="4" t="s">
        <v>81</v>
      </c>
      <c r="H13" s="4" t="s">
        <v>82</v>
      </c>
      <c r="I13" s="4" t="s">
        <v>23</v>
      </c>
      <c r="J13" s="4" t="s">
        <v>83</v>
      </c>
      <c r="K13" s="5" t="s">
        <v>25</v>
      </c>
      <c r="L13" s="4" t="s">
        <v>26</v>
      </c>
      <c r="M13" s="4" t="s">
        <v>27</v>
      </c>
    </row>
    <row r="14" ht="56" customHeight="1" spans="1:13" x14ac:dyDescent="0.25">
      <c r="A14" s="4" t="s">
        <v>84</v>
      </c>
      <c r="B14" s="4" t="s">
        <v>65</v>
      </c>
      <c r="C14" s="4" t="s">
        <v>66</v>
      </c>
      <c r="D14" s="4" t="s">
        <v>85</v>
      </c>
      <c r="E14" s="4" t="s">
        <v>68</v>
      </c>
      <c r="F14" s="4" t="s">
        <v>69</v>
      </c>
      <c r="G14" s="4" t="s">
        <v>86</v>
      </c>
      <c r="H14" s="4" t="s">
        <v>87</v>
      </c>
      <c r="I14" s="4" t="s">
        <v>23</v>
      </c>
      <c r="J14" s="4" t="s">
        <v>88</v>
      </c>
      <c r="K14" s="5" t="s">
        <v>25</v>
      </c>
      <c r="L14" s="4" t="s">
        <v>26</v>
      </c>
      <c r="M14" s="4" t="s">
        <v>27</v>
      </c>
    </row>
    <row r="15" ht="108" customHeight="1" spans="1:13" x14ac:dyDescent="0.25">
      <c r="A15" s="4" t="s">
        <v>89</v>
      </c>
      <c r="B15" s="4" t="s">
        <v>65</v>
      </c>
      <c r="C15" s="4" t="s">
        <v>66</v>
      </c>
      <c r="D15" s="4" t="s">
        <v>90</v>
      </c>
      <c r="E15" s="4" t="s">
        <v>68</v>
      </c>
      <c r="F15" s="4" t="s">
        <v>69</v>
      </c>
      <c r="G15" s="4" t="s">
        <v>91</v>
      </c>
      <c r="H15" s="4" t="s">
        <v>92</v>
      </c>
      <c r="I15" s="4" t="s">
        <v>23</v>
      </c>
      <c r="J15" s="4" t="s">
        <v>93</v>
      </c>
      <c r="K15" s="5" t="s">
        <v>25</v>
      </c>
      <c r="L15" s="4" t="s">
        <v>26</v>
      </c>
      <c r="M15" s="4" t="s">
        <v>27</v>
      </c>
    </row>
    <row r="16" ht="69" customHeight="1" spans="1:13" x14ac:dyDescent="0.25">
      <c r="A16" s="4" t="s">
        <v>94</v>
      </c>
      <c r="B16" s="4" t="s">
        <v>65</v>
      </c>
      <c r="C16" s="4" t="s">
        <v>66</v>
      </c>
      <c r="D16" s="4" t="s">
        <v>95</v>
      </c>
      <c r="E16" s="4" t="s">
        <v>68</v>
      </c>
      <c r="F16" s="4" t="s">
        <v>69</v>
      </c>
      <c r="G16" s="4" t="s">
        <v>96</v>
      </c>
      <c r="H16" s="4" t="s">
        <v>97</v>
      </c>
      <c r="I16" s="4" t="s">
        <v>23</v>
      </c>
      <c r="J16" s="4" t="s">
        <v>98</v>
      </c>
      <c r="K16" s="5" t="s">
        <v>25</v>
      </c>
      <c r="L16" s="4" t="s">
        <v>26</v>
      </c>
      <c r="M16" s="4" t="s">
        <v>27</v>
      </c>
    </row>
    <row r="17" ht="56" customHeight="1" spans="1:13" x14ac:dyDescent="0.25">
      <c r="A17" s="4" t="s">
        <v>99</v>
      </c>
      <c r="B17" s="4" t="s">
        <v>65</v>
      </c>
      <c r="C17" s="4" t="s">
        <v>66</v>
      </c>
      <c r="D17" s="4" t="s">
        <v>100</v>
      </c>
      <c r="E17" s="4" t="s">
        <v>68</v>
      </c>
      <c r="F17" s="4" t="s">
        <v>69</v>
      </c>
      <c r="G17" s="4" t="s">
        <v>101</v>
      </c>
      <c r="H17" s="4" t="s">
        <v>102</v>
      </c>
      <c r="I17" s="4" t="s">
        <v>23</v>
      </c>
      <c r="J17" s="4" t="s">
        <v>103</v>
      </c>
      <c r="K17" s="5" t="s">
        <v>25</v>
      </c>
      <c r="L17" s="4" t="s">
        <v>26</v>
      </c>
      <c r="M17" s="4" t="s">
        <v>27</v>
      </c>
    </row>
    <row r="18" ht="56" customHeight="1" spans="1:13" x14ac:dyDescent="0.25">
      <c r="A18" s="4" t="s">
        <v>104</v>
      </c>
      <c r="B18" s="4" t="s">
        <v>105</v>
      </c>
      <c r="C18" s="4" t="s">
        <v>106</v>
      </c>
      <c r="D18" s="4" t="s">
        <v>107</v>
      </c>
      <c r="E18" s="4" t="s">
        <v>19</v>
      </c>
      <c r="F18" s="4" t="s">
        <v>20</v>
      </c>
      <c r="G18" s="4" t="s">
        <v>108</v>
      </c>
      <c r="H18" s="4" t="s">
        <v>109</v>
      </c>
      <c r="I18" s="4" t="s">
        <v>23</v>
      </c>
      <c r="J18" s="4" t="s">
        <v>110</v>
      </c>
      <c r="K18" s="5" t="s">
        <v>25</v>
      </c>
      <c r="L18" s="4" t="s">
        <v>26</v>
      </c>
      <c r="M18" s="4" t="s">
        <v>27</v>
      </c>
    </row>
    <row r="19" ht="82" customHeight="1" spans="1:13" x14ac:dyDescent="0.25">
      <c r="A19" s="4" t="s">
        <v>111</v>
      </c>
      <c r="B19" s="4" t="s">
        <v>105</v>
      </c>
      <c r="C19" s="4" t="s">
        <v>106</v>
      </c>
      <c r="D19" s="4" t="s">
        <v>112</v>
      </c>
      <c r="E19" s="4" t="s">
        <v>19</v>
      </c>
      <c r="F19" s="4" t="s">
        <v>30</v>
      </c>
      <c r="G19" s="4" t="s">
        <v>113</v>
      </c>
      <c r="H19" s="4" t="s">
        <v>114</v>
      </c>
      <c r="I19" s="4" t="s">
        <v>23</v>
      </c>
      <c r="J19" s="4" t="s">
        <v>115</v>
      </c>
      <c r="K19" s="5" t="s">
        <v>25</v>
      </c>
      <c r="L19" s="4" t="s">
        <v>26</v>
      </c>
      <c r="M19" s="4" t="s">
        <v>27</v>
      </c>
    </row>
    <row r="20" ht="134" customHeight="1" spans="1:13" x14ac:dyDescent="0.25">
      <c r="A20" s="4" t="s">
        <v>116</v>
      </c>
      <c r="B20" s="4" t="s">
        <v>117</v>
      </c>
      <c r="C20" s="4" t="s">
        <v>118</v>
      </c>
      <c r="D20" s="4" t="s">
        <v>119</v>
      </c>
      <c r="E20" s="4" t="s">
        <v>19</v>
      </c>
      <c r="F20" s="4" t="s">
        <v>20</v>
      </c>
      <c r="G20" s="4" t="s">
        <v>120</v>
      </c>
      <c r="H20" s="4" t="s">
        <v>121</v>
      </c>
      <c r="I20" s="4" t="s">
        <v>23</v>
      </c>
      <c r="J20" s="4" t="s">
        <v>122</v>
      </c>
      <c r="K20" s="5" t="s">
        <v>25</v>
      </c>
      <c r="L20" s="4" t="s">
        <v>26</v>
      </c>
      <c r="M20" s="4" t="s">
        <v>27</v>
      </c>
    </row>
    <row r="21" ht="134" customHeight="1" spans="1:13" x14ac:dyDescent="0.25">
      <c r="A21" s="4" t="s">
        <v>123</v>
      </c>
      <c r="B21" s="4" t="s">
        <v>117</v>
      </c>
      <c r="C21" s="4" t="s">
        <v>118</v>
      </c>
      <c r="D21" s="4" t="s">
        <v>124</v>
      </c>
      <c r="E21" s="4" t="s">
        <v>19</v>
      </c>
      <c r="F21" s="4" t="s">
        <v>30</v>
      </c>
      <c r="G21" s="4" t="s">
        <v>125</v>
      </c>
      <c r="H21" s="4" t="s">
        <v>126</v>
      </c>
      <c r="I21" s="4" t="s">
        <v>23</v>
      </c>
      <c r="J21" s="4" t="s">
        <v>127</v>
      </c>
      <c r="K21" s="5" t="s">
        <v>25</v>
      </c>
      <c r="L21" s="4" t="s">
        <v>26</v>
      </c>
      <c r="M21" s="4" t="s">
        <v>27</v>
      </c>
    </row>
    <row r="22" ht="82" customHeight="1" spans="1:13" x14ac:dyDescent="0.25">
      <c r="A22" s="4" t="s">
        <v>128</v>
      </c>
      <c r="B22" s="4" t="s">
        <v>117</v>
      </c>
      <c r="C22" s="4" t="s">
        <v>118</v>
      </c>
      <c r="D22" s="4" t="s">
        <v>129</v>
      </c>
      <c r="E22" s="4" t="s">
        <v>19</v>
      </c>
      <c r="F22" s="4" t="s">
        <v>50</v>
      </c>
      <c r="G22" s="4" t="s">
        <v>130</v>
      </c>
      <c r="H22" s="4" t="s">
        <v>131</v>
      </c>
      <c r="I22" s="4" t="s">
        <v>23</v>
      </c>
      <c r="J22" s="4" t="s">
        <v>132</v>
      </c>
      <c r="K22" s="5" t="s">
        <v>25</v>
      </c>
      <c r="L22" s="4" t="s">
        <v>26</v>
      </c>
      <c r="M22" s="4" t="s">
        <v>27</v>
      </c>
    </row>
    <row r="23" ht="56" customHeight="1" spans="1:13" x14ac:dyDescent="0.25">
      <c r="A23" s="4" t="s">
        <v>133</v>
      </c>
      <c r="B23" s="4" t="s">
        <v>117</v>
      </c>
      <c r="C23" s="4" t="s">
        <v>118</v>
      </c>
      <c r="D23" s="4" t="s">
        <v>134</v>
      </c>
      <c r="E23" s="4" t="s">
        <v>49</v>
      </c>
      <c r="F23" s="4" t="s">
        <v>50</v>
      </c>
      <c r="G23" s="4" t="s">
        <v>135</v>
      </c>
      <c r="H23" s="4" t="s">
        <v>136</v>
      </c>
      <c r="I23" s="4" t="s">
        <v>23</v>
      </c>
      <c r="J23" s="4" t="s">
        <v>137</v>
      </c>
      <c r="K23" s="5" t="s">
        <v>25</v>
      </c>
      <c r="L23" s="4" t="s">
        <v>26</v>
      </c>
      <c r="M23" s="4" t="s">
        <v>27</v>
      </c>
    </row>
    <row r="24" ht="56" customHeight="1" spans="1:13" x14ac:dyDescent="0.25">
      <c r="A24" s="4" t="s">
        <v>138</v>
      </c>
      <c r="B24" s="4" t="s">
        <v>117</v>
      </c>
      <c r="C24" s="4" t="s">
        <v>118</v>
      </c>
      <c r="D24" s="4" t="s">
        <v>139</v>
      </c>
      <c r="E24" s="4" t="s">
        <v>19</v>
      </c>
      <c r="F24" s="4" t="s">
        <v>50</v>
      </c>
      <c r="G24" s="4" t="s">
        <v>140</v>
      </c>
      <c r="H24" s="4" t="s">
        <v>141</v>
      </c>
      <c r="I24" s="4" t="s">
        <v>23</v>
      </c>
      <c r="J24" s="4" t="s">
        <v>142</v>
      </c>
      <c r="K24" s="5" t="s">
        <v>25</v>
      </c>
      <c r="L24" s="4" t="s">
        <v>26</v>
      </c>
      <c r="M24" s="4" t="s">
        <v>27</v>
      </c>
    </row>
    <row r="25" ht="56" customHeight="1" spans="1:13" x14ac:dyDescent="0.25">
      <c r="A25" s="4" t="s">
        <v>143</v>
      </c>
      <c r="B25" s="4" t="s">
        <v>117</v>
      </c>
      <c r="C25" s="4" t="s">
        <v>118</v>
      </c>
      <c r="D25" s="4" t="s">
        <v>144</v>
      </c>
      <c r="E25" s="4" t="s">
        <v>19</v>
      </c>
      <c r="F25" s="4" t="s">
        <v>50</v>
      </c>
      <c r="G25" s="4" t="s">
        <v>145</v>
      </c>
      <c r="H25" s="4" t="s">
        <v>146</v>
      </c>
      <c r="I25" s="4" t="s">
        <v>23</v>
      </c>
      <c r="J25" s="4" t="s">
        <v>147</v>
      </c>
      <c r="K25" s="5" t="s">
        <v>25</v>
      </c>
      <c r="L25" s="4" t="s">
        <v>26</v>
      </c>
      <c r="M25" s="4" t="s">
        <v>27</v>
      </c>
    </row>
    <row r="26" ht="95" customHeight="1" spans="1:13" x14ac:dyDescent="0.25">
      <c r="A26" s="4" t="s">
        <v>148</v>
      </c>
      <c r="B26" s="4" t="s">
        <v>117</v>
      </c>
      <c r="C26" s="4" t="s">
        <v>118</v>
      </c>
      <c r="D26" s="4" t="s">
        <v>149</v>
      </c>
      <c r="E26" s="4" t="s">
        <v>19</v>
      </c>
      <c r="F26" s="4" t="s">
        <v>50</v>
      </c>
      <c r="G26" s="4" t="s">
        <v>150</v>
      </c>
      <c r="H26" s="4" t="s">
        <v>151</v>
      </c>
      <c r="I26" s="4" t="s">
        <v>23</v>
      </c>
      <c r="J26" s="4" t="s">
        <v>152</v>
      </c>
      <c r="K26" s="5" t="s">
        <v>25</v>
      </c>
      <c r="L26" s="4" t="s">
        <v>26</v>
      </c>
      <c r="M26" s="4" t="s">
        <v>27</v>
      </c>
    </row>
    <row r="27" ht="69" customHeight="1" spans="1:13" x14ac:dyDescent="0.25">
      <c r="A27" s="4" t="s">
        <v>153</v>
      </c>
      <c r="B27" s="4" t="s">
        <v>117</v>
      </c>
      <c r="C27" s="4" t="s">
        <v>118</v>
      </c>
      <c r="D27" s="4" t="s">
        <v>154</v>
      </c>
      <c r="E27" s="4" t="s">
        <v>49</v>
      </c>
      <c r="F27" s="4" t="s">
        <v>30</v>
      </c>
      <c r="G27" s="4" t="s">
        <v>155</v>
      </c>
      <c r="H27" s="4" t="s">
        <v>156</v>
      </c>
      <c r="I27" s="4" t="s">
        <v>23</v>
      </c>
      <c r="J27" s="4" t="s">
        <v>157</v>
      </c>
      <c r="K27" s="5" t="s">
        <v>25</v>
      </c>
      <c r="L27" s="4" t="s">
        <v>26</v>
      </c>
      <c r="M27" s="4" t="s">
        <v>27</v>
      </c>
    </row>
    <row r="28" ht="69" customHeight="1" spans="1:13" x14ac:dyDescent="0.25">
      <c r="A28" s="4" t="s">
        <v>158</v>
      </c>
      <c r="B28" s="4" t="s">
        <v>159</v>
      </c>
      <c r="C28" s="4" t="s">
        <v>118</v>
      </c>
      <c r="D28" s="4" t="s">
        <v>160</v>
      </c>
      <c r="E28" s="4" t="s">
        <v>49</v>
      </c>
      <c r="F28" s="4" t="s">
        <v>161</v>
      </c>
      <c r="G28" s="4" t="s">
        <v>162</v>
      </c>
      <c r="H28" s="4" t="s">
        <v>163</v>
      </c>
      <c r="I28" s="4" t="s">
        <v>23</v>
      </c>
      <c r="J28" s="4" t="s">
        <v>164</v>
      </c>
      <c r="K28" s="5" t="s">
        <v>25</v>
      </c>
      <c r="L28" s="4" t="s">
        <v>26</v>
      </c>
      <c r="M28" s="4" t="s">
        <v>27</v>
      </c>
    </row>
    <row r="29" ht="56" customHeight="1" spans="1:13" x14ac:dyDescent="0.25">
      <c r="A29" s="4" t="s">
        <v>165</v>
      </c>
      <c r="B29" s="4" t="s">
        <v>159</v>
      </c>
      <c r="C29" s="4" t="s">
        <v>118</v>
      </c>
      <c r="D29" s="4" t="s">
        <v>166</v>
      </c>
      <c r="E29" s="4" t="s">
        <v>49</v>
      </c>
      <c r="F29" s="4" t="s">
        <v>50</v>
      </c>
      <c r="G29" s="4" t="s">
        <v>167</v>
      </c>
      <c r="H29" s="4" t="s">
        <v>168</v>
      </c>
      <c r="I29" s="4" t="s">
        <v>23</v>
      </c>
      <c r="J29" s="4" t="s">
        <v>169</v>
      </c>
      <c r="K29" s="5" t="s">
        <v>25</v>
      </c>
      <c r="L29" s="4" t="s">
        <v>26</v>
      </c>
      <c r="M29" s="4" t="s">
        <v>27</v>
      </c>
    </row>
    <row r="30" ht="69" customHeight="1" spans="1:13" x14ac:dyDescent="0.25">
      <c r="A30" s="4" t="s">
        <v>170</v>
      </c>
      <c r="B30" s="4" t="s">
        <v>159</v>
      </c>
      <c r="C30" s="4" t="s">
        <v>118</v>
      </c>
      <c r="D30" s="4" t="s">
        <v>171</v>
      </c>
      <c r="E30" s="4" t="s">
        <v>68</v>
      </c>
      <c r="F30" s="4" t="s">
        <v>172</v>
      </c>
      <c r="G30" s="4" t="s">
        <v>173</v>
      </c>
      <c r="H30" s="4" t="s">
        <v>174</v>
      </c>
      <c r="I30" s="4" t="s">
        <v>23</v>
      </c>
      <c r="J30" s="4" t="s">
        <v>175</v>
      </c>
      <c r="K30" s="5" t="s">
        <v>25</v>
      </c>
      <c r="L30" s="4" t="s">
        <v>26</v>
      </c>
      <c r="M30" s="4" t="s">
        <v>27</v>
      </c>
    </row>
    <row r="31" ht="56" customHeight="1" spans="1:13" x14ac:dyDescent="0.25">
      <c r="A31" s="4" t="s">
        <v>176</v>
      </c>
      <c r="B31" s="4" t="s">
        <v>117</v>
      </c>
      <c r="C31" s="4" t="s">
        <v>118</v>
      </c>
      <c r="D31" s="4" t="s">
        <v>177</v>
      </c>
      <c r="E31" s="4" t="s">
        <v>49</v>
      </c>
      <c r="F31" s="4" t="s">
        <v>50</v>
      </c>
      <c r="G31" s="4" t="s">
        <v>178</v>
      </c>
      <c r="H31" s="4" t="s">
        <v>179</v>
      </c>
      <c r="I31" s="4" t="s">
        <v>23</v>
      </c>
      <c r="J31" s="4" t="s">
        <v>180</v>
      </c>
      <c r="K31" s="5" t="s">
        <v>25</v>
      </c>
      <c r="L31" s="4" t="s">
        <v>26</v>
      </c>
      <c r="M31" s="4" t="s">
        <v>27</v>
      </c>
    </row>
    <row r="32" ht="56" customHeight="1" spans="1:13" x14ac:dyDescent="0.25">
      <c r="A32" s="4" t="s">
        <v>181</v>
      </c>
      <c r="B32" s="4" t="s">
        <v>182</v>
      </c>
      <c r="C32" s="4" t="s">
        <v>118</v>
      </c>
      <c r="D32" s="4" t="s">
        <v>183</v>
      </c>
      <c r="E32" s="4" t="s">
        <v>49</v>
      </c>
      <c r="F32" s="4" t="s">
        <v>20</v>
      </c>
      <c r="G32" s="4" t="s">
        <v>184</v>
      </c>
      <c r="H32" s="4" t="s">
        <v>185</v>
      </c>
      <c r="I32" s="4" t="s">
        <v>23</v>
      </c>
      <c r="J32" s="4" t="s">
        <v>186</v>
      </c>
      <c r="K32" s="5" t="s">
        <v>25</v>
      </c>
      <c r="L32" s="4" t="s">
        <v>26</v>
      </c>
      <c r="M32" s="4" t="s">
        <v>27</v>
      </c>
    </row>
    <row r="33" ht="69" customHeight="1" spans="1:13" x14ac:dyDescent="0.25">
      <c r="A33" s="4" t="s">
        <v>187</v>
      </c>
      <c r="B33" s="4" t="s">
        <v>182</v>
      </c>
      <c r="C33" s="4" t="s">
        <v>118</v>
      </c>
      <c r="D33" s="4" t="s">
        <v>188</v>
      </c>
      <c r="E33" s="4" t="s">
        <v>49</v>
      </c>
      <c r="F33" s="4" t="s">
        <v>20</v>
      </c>
      <c r="G33" s="4" t="s">
        <v>189</v>
      </c>
      <c r="H33" s="4" t="s">
        <v>185</v>
      </c>
      <c r="I33" s="4" t="s">
        <v>23</v>
      </c>
      <c r="J33" s="4" t="s">
        <v>190</v>
      </c>
      <c r="K33" s="5" t="s">
        <v>25</v>
      </c>
      <c r="L33" s="4" t="s">
        <v>26</v>
      </c>
      <c r="M33" s="4" t="s">
        <v>27</v>
      </c>
    </row>
    <row r="34" ht="69" customHeight="1" spans="1:13" x14ac:dyDescent="0.25">
      <c r="A34" s="4" t="s">
        <v>191</v>
      </c>
      <c r="B34" s="4" t="s">
        <v>182</v>
      </c>
      <c r="C34" s="4" t="s">
        <v>118</v>
      </c>
      <c r="D34" s="4" t="s">
        <v>192</v>
      </c>
      <c r="E34" s="4" t="s">
        <v>49</v>
      </c>
      <c r="F34" s="4" t="s">
        <v>20</v>
      </c>
      <c r="G34" s="4" t="s">
        <v>193</v>
      </c>
      <c r="H34" s="4" t="s">
        <v>185</v>
      </c>
      <c r="I34" s="4" t="s">
        <v>23</v>
      </c>
      <c r="J34" s="4" t="s">
        <v>194</v>
      </c>
      <c r="K34" s="5" t="s">
        <v>25</v>
      </c>
      <c r="L34" s="4" t="s">
        <v>26</v>
      </c>
      <c r="M34" s="4" t="s">
        <v>27</v>
      </c>
    </row>
    <row r="35" ht="108" customHeight="1" spans="1:13" x14ac:dyDescent="0.25">
      <c r="A35" s="4" t="s">
        <v>195</v>
      </c>
      <c r="B35" s="4" t="s">
        <v>182</v>
      </c>
      <c r="C35" s="4" t="s">
        <v>118</v>
      </c>
      <c r="D35" s="4" t="s">
        <v>196</v>
      </c>
      <c r="E35" s="4" t="s">
        <v>68</v>
      </c>
      <c r="F35" s="4" t="s">
        <v>30</v>
      </c>
      <c r="G35" s="4" t="s">
        <v>197</v>
      </c>
      <c r="H35" s="4" t="s">
        <v>198</v>
      </c>
      <c r="I35" s="4" t="s">
        <v>23</v>
      </c>
      <c r="J35" s="4" t="s">
        <v>199</v>
      </c>
      <c r="K35" s="5" t="s">
        <v>25</v>
      </c>
      <c r="L35" s="4" t="s">
        <v>26</v>
      </c>
      <c r="M35" s="4" t="s">
        <v>27</v>
      </c>
    </row>
    <row r="36" ht="108" customHeight="1" spans="1:13" x14ac:dyDescent="0.25">
      <c r="A36" s="4" t="s">
        <v>200</v>
      </c>
      <c r="B36" s="4" t="s">
        <v>182</v>
      </c>
      <c r="C36" s="4" t="s">
        <v>118</v>
      </c>
      <c r="D36" s="4" t="s">
        <v>201</v>
      </c>
      <c r="E36" s="4" t="s">
        <v>68</v>
      </c>
      <c r="F36" s="4" t="s">
        <v>20</v>
      </c>
      <c r="G36" s="4" t="s">
        <v>202</v>
      </c>
      <c r="H36" s="4" t="s">
        <v>203</v>
      </c>
      <c r="I36" s="4" t="s">
        <v>23</v>
      </c>
      <c r="J36" s="4" t="s">
        <v>204</v>
      </c>
      <c r="K36" s="5" t="s">
        <v>25</v>
      </c>
      <c r="L36" s="4" t="s">
        <v>26</v>
      </c>
      <c r="M36" s="4" t="s">
        <v>27</v>
      </c>
    </row>
    <row r="37" ht="160" customHeight="1" spans="1:13" x14ac:dyDescent="0.25">
      <c r="A37" s="4" t="s">
        <v>205</v>
      </c>
      <c r="B37" s="4" t="s">
        <v>206</v>
      </c>
      <c r="C37" s="4" t="s">
        <v>118</v>
      </c>
      <c r="D37" s="4" t="s">
        <v>207</v>
      </c>
      <c r="E37" s="4" t="s">
        <v>19</v>
      </c>
      <c r="F37" s="4" t="s">
        <v>20</v>
      </c>
      <c r="G37" s="4" t="s">
        <v>208</v>
      </c>
      <c r="H37" s="4" t="s">
        <v>209</v>
      </c>
      <c r="I37" s="6" t="s">
        <v>210</v>
      </c>
      <c r="J37" s="4" t="s">
        <v>211</v>
      </c>
      <c r="K37" s="5" t="s">
        <v>25</v>
      </c>
      <c r="L37" s="4" t="s">
        <v>26</v>
      </c>
      <c r="M37" s="4" t="s">
        <v>27</v>
      </c>
    </row>
    <row r="38" ht="95" customHeight="1" spans="1:13" x14ac:dyDescent="0.25">
      <c r="A38" s="4" t="s">
        <v>212</v>
      </c>
      <c r="B38" s="4" t="s">
        <v>206</v>
      </c>
      <c r="C38" s="4" t="s">
        <v>118</v>
      </c>
      <c r="D38" s="4" t="s">
        <v>213</v>
      </c>
      <c r="E38" s="4" t="s">
        <v>68</v>
      </c>
      <c r="F38" s="4" t="s">
        <v>214</v>
      </c>
      <c r="G38" s="4" t="s">
        <v>215</v>
      </c>
      <c r="H38" s="4" t="s">
        <v>216</v>
      </c>
      <c r="I38" s="4" t="s">
        <v>23</v>
      </c>
      <c r="J38" s="4" t="s">
        <v>217</v>
      </c>
      <c r="K38" s="5" t="s">
        <v>25</v>
      </c>
      <c r="L38" s="4" t="s">
        <v>26</v>
      </c>
      <c r="M38" s="4" t="s">
        <v>27</v>
      </c>
    </row>
    <row r="39" ht="134" customHeight="1" spans="1:13" x14ac:dyDescent="0.25">
      <c r="A39" s="4" t="s">
        <v>218</v>
      </c>
      <c r="B39" s="4" t="s">
        <v>219</v>
      </c>
      <c r="C39" s="4" t="s">
        <v>118</v>
      </c>
      <c r="D39" s="4" t="s">
        <v>220</v>
      </c>
      <c r="E39" s="4" t="s">
        <v>19</v>
      </c>
      <c r="F39" s="4" t="s">
        <v>20</v>
      </c>
      <c r="G39" s="4" t="s">
        <v>221</v>
      </c>
      <c r="H39" s="4" t="s">
        <v>222</v>
      </c>
      <c r="I39" s="6" t="s">
        <v>223</v>
      </c>
      <c r="J39" s="4" t="s">
        <v>224</v>
      </c>
      <c r="K39" s="5" t="s">
        <v>25</v>
      </c>
      <c r="L39" s="4" t="s">
        <v>26</v>
      </c>
      <c r="M39" s="4" t="s">
        <v>27</v>
      </c>
    </row>
    <row r="40" ht="69" customHeight="1" spans="1:13" x14ac:dyDescent="0.25">
      <c r="A40" s="4" t="s">
        <v>225</v>
      </c>
      <c r="B40" s="4" t="s">
        <v>219</v>
      </c>
      <c r="C40" s="4" t="s">
        <v>118</v>
      </c>
      <c r="D40" s="4" t="s">
        <v>226</v>
      </c>
      <c r="E40" s="4" t="s">
        <v>49</v>
      </c>
      <c r="F40" s="4" t="s">
        <v>30</v>
      </c>
      <c r="G40" s="4" t="s">
        <v>227</v>
      </c>
      <c r="H40" s="4" t="s">
        <v>228</v>
      </c>
      <c r="I40" s="4" t="s">
        <v>23</v>
      </c>
      <c r="J40" s="4" t="s">
        <v>229</v>
      </c>
      <c r="K40" s="5" t="s">
        <v>25</v>
      </c>
      <c r="L40" s="4" t="s">
        <v>26</v>
      </c>
      <c r="M40" s="4" t="s">
        <v>27</v>
      </c>
    </row>
    <row r="41" ht="160" customHeight="1" spans="1:13" x14ac:dyDescent="0.25">
      <c r="A41" s="4" t="s">
        <v>230</v>
      </c>
      <c r="B41" s="4" t="s">
        <v>219</v>
      </c>
      <c r="C41" s="4" t="s">
        <v>118</v>
      </c>
      <c r="D41" s="4" t="s">
        <v>231</v>
      </c>
      <c r="E41" s="4" t="s">
        <v>19</v>
      </c>
      <c r="F41" s="4" t="s">
        <v>20</v>
      </c>
      <c r="G41" s="4" t="s">
        <v>232</v>
      </c>
      <c r="H41" s="4" t="s">
        <v>233</v>
      </c>
      <c r="I41" s="6" t="s">
        <v>234</v>
      </c>
      <c r="J41" s="4" t="s">
        <v>235</v>
      </c>
      <c r="K41" s="5" t="s">
        <v>25</v>
      </c>
      <c r="L41" s="4" t="s">
        <v>26</v>
      </c>
      <c r="M41" s="4" t="s">
        <v>27</v>
      </c>
    </row>
    <row r="42" ht="147" customHeight="1" spans="1:13" x14ac:dyDescent="0.25">
      <c r="A42" s="4" t="s">
        <v>236</v>
      </c>
      <c r="B42" s="4" t="s">
        <v>219</v>
      </c>
      <c r="C42" s="4" t="s">
        <v>118</v>
      </c>
      <c r="D42" s="4" t="s">
        <v>237</v>
      </c>
      <c r="E42" s="4" t="s">
        <v>68</v>
      </c>
      <c r="F42" s="4" t="s">
        <v>172</v>
      </c>
      <c r="G42" s="4" t="s">
        <v>238</v>
      </c>
      <c r="H42" s="4" t="s">
        <v>239</v>
      </c>
      <c r="I42" s="4" t="s">
        <v>23</v>
      </c>
      <c r="J42" s="4" t="s">
        <v>240</v>
      </c>
      <c r="K42" s="5" t="s">
        <v>25</v>
      </c>
      <c r="L42" s="4" t="s">
        <v>26</v>
      </c>
      <c r="M42" s="4" t="s">
        <v>27</v>
      </c>
    </row>
    <row r="43" ht="160" customHeight="1" spans="1:13" x14ac:dyDescent="0.25">
      <c r="A43" s="4" t="s">
        <v>241</v>
      </c>
      <c r="B43" s="4" t="s">
        <v>117</v>
      </c>
      <c r="C43" s="4" t="s">
        <v>118</v>
      </c>
      <c r="D43" s="4" t="s">
        <v>242</v>
      </c>
      <c r="E43" s="4" t="s">
        <v>68</v>
      </c>
      <c r="F43" s="4" t="s">
        <v>161</v>
      </c>
      <c r="G43" s="4" t="s">
        <v>243</v>
      </c>
      <c r="H43" s="4" t="s">
        <v>244</v>
      </c>
      <c r="I43" s="4" t="s">
        <v>23</v>
      </c>
      <c r="J43" s="4" t="s">
        <v>245</v>
      </c>
      <c r="K43" s="5" t="s">
        <v>25</v>
      </c>
      <c r="L43" s="4" t="s">
        <v>26</v>
      </c>
      <c r="M43" s="4" t="s">
        <v>27</v>
      </c>
    </row>
    <row r="44" ht="56" customHeight="1" spans="1:13" x14ac:dyDescent="0.25">
      <c r="A44" s="4" t="s">
        <v>246</v>
      </c>
      <c r="B44" s="4" t="s">
        <v>247</v>
      </c>
      <c r="C44" s="4" t="s">
        <v>248</v>
      </c>
      <c r="D44" s="4" t="s">
        <v>249</v>
      </c>
      <c r="E44" s="4" t="s">
        <v>49</v>
      </c>
      <c r="F44" s="4" t="s">
        <v>20</v>
      </c>
      <c r="G44" s="4" t="s">
        <v>250</v>
      </c>
      <c r="H44" s="4" t="s">
        <v>251</v>
      </c>
      <c r="I44" s="4" t="s">
        <v>23</v>
      </c>
      <c r="J44" s="4" t="s">
        <v>252</v>
      </c>
      <c r="K44" s="5" t="s">
        <v>25</v>
      </c>
      <c r="L44" s="4" t="s">
        <v>26</v>
      </c>
      <c r="M44" s="4" t="s">
        <v>27</v>
      </c>
    </row>
    <row r="45" ht="56" customHeight="1" spans="1:13" x14ac:dyDescent="0.25">
      <c r="A45" s="4" t="s">
        <v>253</v>
      </c>
      <c r="B45" s="4" t="s">
        <v>247</v>
      </c>
      <c r="C45" s="4" t="s">
        <v>248</v>
      </c>
      <c r="D45" s="4" t="s">
        <v>254</v>
      </c>
      <c r="E45" s="4" t="s">
        <v>49</v>
      </c>
      <c r="F45" s="4" t="s">
        <v>50</v>
      </c>
      <c r="G45" s="4" t="s">
        <v>255</v>
      </c>
      <c r="H45" s="4" t="s">
        <v>256</v>
      </c>
      <c r="I45" s="4" t="s">
        <v>23</v>
      </c>
      <c r="J45" s="4" t="s">
        <v>257</v>
      </c>
      <c r="K45" s="5" t="s">
        <v>25</v>
      </c>
      <c r="L45" s="4" t="s">
        <v>26</v>
      </c>
      <c r="M45" s="4" t="s">
        <v>27</v>
      </c>
    </row>
    <row r="46" ht="56" customHeight="1" spans="1:13" x14ac:dyDescent="0.25">
      <c r="A46" s="4" t="s">
        <v>258</v>
      </c>
      <c r="B46" s="4" t="s">
        <v>247</v>
      </c>
      <c r="C46" s="4" t="s">
        <v>248</v>
      </c>
      <c r="D46" s="4" t="s">
        <v>259</v>
      </c>
      <c r="E46" s="4" t="s">
        <v>49</v>
      </c>
      <c r="F46" s="4" t="s">
        <v>30</v>
      </c>
      <c r="G46" s="4" t="s">
        <v>260</v>
      </c>
      <c r="H46" s="4" t="s">
        <v>261</v>
      </c>
      <c r="I46" s="4" t="s">
        <v>23</v>
      </c>
      <c r="J46" s="4" t="s">
        <v>262</v>
      </c>
      <c r="K46" s="5" t="s">
        <v>25</v>
      </c>
      <c r="L46" s="4" t="s">
        <v>26</v>
      </c>
      <c r="M46" s="4" t="s">
        <v>27</v>
      </c>
    </row>
    <row r="47" ht="95" customHeight="1" spans="1:13" x14ac:dyDescent="0.25">
      <c r="A47" s="4" t="s">
        <v>263</v>
      </c>
      <c r="B47" s="4" t="s">
        <v>247</v>
      </c>
      <c r="C47" s="4" t="s">
        <v>248</v>
      </c>
      <c r="D47" s="4" t="s">
        <v>264</v>
      </c>
      <c r="E47" s="4" t="s">
        <v>68</v>
      </c>
      <c r="F47" s="4" t="s">
        <v>161</v>
      </c>
      <c r="G47" s="4" t="s">
        <v>265</v>
      </c>
      <c r="H47" s="4" t="s">
        <v>266</v>
      </c>
      <c r="I47" s="4" t="s">
        <v>23</v>
      </c>
      <c r="J47" s="4" t="s">
        <v>267</v>
      </c>
      <c r="K47" s="7" t="s">
        <v>44</v>
      </c>
      <c r="L47" s="4" t="s">
        <v>268</v>
      </c>
      <c r="M47" s="4" t="s">
        <v>269</v>
      </c>
    </row>
    <row r="48" ht="56" customHeight="1" spans="1:13" x14ac:dyDescent="0.25">
      <c r="A48" s="4" t="s">
        <v>270</v>
      </c>
      <c r="B48" s="4" t="s">
        <v>247</v>
      </c>
      <c r="C48" s="4" t="s">
        <v>248</v>
      </c>
      <c r="D48" s="4" t="s">
        <v>271</v>
      </c>
      <c r="E48" s="4" t="s">
        <v>49</v>
      </c>
      <c r="F48" s="4" t="s">
        <v>20</v>
      </c>
      <c r="G48" s="4" t="s">
        <v>272</v>
      </c>
      <c r="H48" s="4" t="s">
        <v>273</v>
      </c>
      <c r="I48" s="4" t="s">
        <v>23</v>
      </c>
      <c r="J48" s="4" t="s">
        <v>274</v>
      </c>
      <c r="K48" s="5" t="s">
        <v>25</v>
      </c>
      <c r="L48" s="4" t="s">
        <v>26</v>
      </c>
      <c r="M48" s="4" t="s">
        <v>27</v>
      </c>
    </row>
    <row r="49" ht="56" customHeight="1" spans="1:13" x14ac:dyDescent="0.25">
      <c r="A49" s="4" t="s">
        <v>275</v>
      </c>
      <c r="B49" s="4" t="s">
        <v>247</v>
      </c>
      <c r="C49" s="4" t="s">
        <v>248</v>
      </c>
      <c r="D49" s="4" t="s">
        <v>276</v>
      </c>
      <c r="E49" s="4" t="s">
        <v>68</v>
      </c>
      <c r="F49" s="4" t="s">
        <v>30</v>
      </c>
      <c r="G49" s="4" t="s">
        <v>277</v>
      </c>
      <c r="H49" s="4" t="s">
        <v>278</v>
      </c>
      <c r="I49" s="4" t="s">
        <v>23</v>
      </c>
      <c r="J49" s="4" t="s">
        <v>279</v>
      </c>
      <c r="K49" s="5" t="s">
        <v>25</v>
      </c>
      <c r="L49" s="4" t="s">
        <v>26</v>
      </c>
      <c r="M49" s="4" t="s">
        <v>27</v>
      </c>
    </row>
    <row r="50" ht="134" customHeight="1" spans="1:13" x14ac:dyDescent="0.25">
      <c r="A50" s="4" t="s">
        <v>280</v>
      </c>
      <c r="B50" s="4" t="s">
        <v>247</v>
      </c>
      <c r="C50" s="4" t="s">
        <v>248</v>
      </c>
      <c r="D50" s="4" t="s">
        <v>281</v>
      </c>
      <c r="E50" s="4" t="s">
        <v>49</v>
      </c>
      <c r="F50" s="4" t="s">
        <v>20</v>
      </c>
      <c r="G50" s="4" t="s">
        <v>282</v>
      </c>
      <c r="H50" s="4" t="s">
        <v>283</v>
      </c>
      <c r="I50" s="6" t="s">
        <v>223</v>
      </c>
      <c r="J50" s="4" t="s">
        <v>284</v>
      </c>
      <c r="K50" s="5" t="s">
        <v>25</v>
      </c>
      <c r="L50" s="4" t="s">
        <v>26</v>
      </c>
      <c r="M50" s="4" t="s">
        <v>27</v>
      </c>
    </row>
    <row r="51" ht="56" customHeight="1" spans="1:13" x14ac:dyDescent="0.25">
      <c r="A51" s="4" t="s">
        <v>285</v>
      </c>
      <c r="B51" s="4" t="s">
        <v>247</v>
      </c>
      <c r="C51" s="4" t="s">
        <v>248</v>
      </c>
      <c r="D51" s="4" t="s">
        <v>286</v>
      </c>
      <c r="E51" s="4" t="s">
        <v>68</v>
      </c>
      <c r="F51" s="4" t="s">
        <v>30</v>
      </c>
      <c r="G51" s="4" t="s">
        <v>287</v>
      </c>
      <c r="H51" s="4" t="s">
        <v>288</v>
      </c>
      <c r="I51" s="4" t="s">
        <v>23</v>
      </c>
      <c r="J51" s="4" t="s">
        <v>289</v>
      </c>
      <c r="K51" s="5" t="s">
        <v>25</v>
      </c>
      <c r="L51" s="4" t="s">
        <v>26</v>
      </c>
      <c r="M51" s="4" t="s">
        <v>27</v>
      </c>
    </row>
    <row r="52" ht="121" customHeight="1" spans="1:13" x14ac:dyDescent="0.25">
      <c r="A52" s="4" t="s">
        <v>290</v>
      </c>
      <c r="B52" s="4" t="s">
        <v>247</v>
      </c>
      <c r="C52" s="4" t="s">
        <v>248</v>
      </c>
      <c r="D52" s="4" t="s">
        <v>291</v>
      </c>
      <c r="E52" s="4" t="s">
        <v>68</v>
      </c>
      <c r="F52" s="4" t="s">
        <v>20</v>
      </c>
      <c r="G52" s="4" t="s">
        <v>292</v>
      </c>
      <c r="H52" s="4" t="s">
        <v>293</v>
      </c>
      <c r="I52" s="4" t="s">
        <v>23</v>
      </c>
      <c r="J52" s="4" t="s">
        <v>294</v>
      </c>
      <c r="K52" s="5" t="s">
        <v>25</v>
      </c>
      <c r="L52" s="4" t="s">
        <v>26</v>
      </c>
      <c r="M52" s="4" t="s">
        <v>27</v>
      </c>
    </row>
    <row r="53" ht="108" customHeight="1" spans="1:13" x14ac:dyDescent="0.25">
      <c r="A53" s="4" t="s">
        <v>295</v>
      </c>
      <c r="B53" s="4" t="s">
        <v>247</v>
      </c>
      <c r="C53" s="4" t="s">
        <v>248</v>
      </c>
      <c r="D53" s="4" t="s">
        <v>296</v>
      </c>
      <c r="E53" s="4" t="s">
        <v>68</v>
      </c>
      <c r="F53" s="4" t="s">
        <v>30</v>
      </c>
      <c r="G53" s="4" t="s">
        <v>297</v>
      </c>
      <c r="H53" s="4" t="s">
        <v>293</v>
      </c>
      <c r="I53" s="4" t="s">
        <v>23</v>
      </c>
      <c r="J53" s="4" t="s">
        <v>298</v>
      </c>
      <c r="K53" s="5" t="s">
        <v>25</v>
      </c>
      <c r="L53" s="4" t="s">
        <v>26</v>
      </c>
      <c r="M53" s="4" t="s">
        <v>27</v>
      </c>
    </row>
    <row r="54" ht="134" customHeight="1" spans="1:13" x14ac:dyDescent="0.25">
      <c r="A54" s="4" t="s">
        <v>299</v>
      </c>
      <c r="B54" s="4" t="s">
        <v>247</v>
      </c>
      <c r="C54" s="4" t="s">
        <v>248</v>
      </c>
      <c r="D54" s="4" t="s">
        <v>300</v>
      </c>
      <c r="E54" s="4" t="s">
        <v>301</v>
      </c>
      <c r="F54" s="4" t="s">
        <v>20</v>
      </c>
      <c r="G54" s="4" t="s">
        <v>302</v>
      </c>
      <c r="H54" s="4" t="s">
        <v>293</v>
      </c>
      <c r="I54" s="4" t="s">
        <v>23</v>
      </c>
      <c r="J54" s="4" t="s">
        <v>303</v>
      </c>
      <c r="K54" s="5" t="s">
        <v>25</v>
      </c>
      <c r="L54" s="4" t="s">
        <v>26</v>
      </c>
      <c r="M54" s="4" t="s">
        <v>27</v>
      </c>
    </row>
    <row r="55" ht="160" customHeight="1" spans="1:13" x14ac:dyDescent="0.25">
      <c r="A55" s="4" t="s">
        <v>304</v>
      </c>
      <c r="B55" s="4" t="s">
        <v>247</v>
      </c>
      <c r="C55" s="4" t="s">
        <v>248</v>
      </c>
      <c r="D55" s="4" t="s">
        <v>305</v>
      </c>
      <c r="E55" s="4" t="s">
        <v>301</v>
      </c>
      <c r="F55" s="4" t="s">
        <v>20</v>
      </c>
      <c r="G55" s="4" t="s">
        <v>306</v>
      </c>
      <c r="H55" s="4" t="s">
        <v>293</v>
      </c>
      <c r="I55" s="4" t="s">
        <v>23</v>
      </c>
      <c r="J55" s="4" t="s">
        <v>307</v>
      </c>
      <c r="K55" s="5" t="s">
        <v>25</v>
      </c>
      <c r="L55" s="4" t="s">
        <v>308</v>
      </c>
      <c r="M55" s="4" t="s">
        <v>309</v>
      </c>
    </row>
    <row r="56" ht="108" customHeight="1" spans="1:13" x14ac:dyDescent="0.25">
      <c r="A56" s="4" t="s">
        <v>310</v>
      </c>
      <c r="B56" s="4" t="s">
        <v>311</v>
      </c>
      <c r="C56" s="4" t="s">
        <v>312</v>
      </c>
      <c r="D56" s="4" t="s">
        <v>313</v>
      </c>
      <c r="E56" s="4" t="s">
        <v>49</v>
      </c>
      <c r="F56" s="4" t="s">
        <v>20</v>
      </c>
      <c r="G56" s="4" t="s">
        <v>314</v>
      </c>
      <c r="H56" s="4" t="s">
        <v>251</v>
      </c>
      <c r="I56" s="4" t="s">
        <v>23</v>
      </c>
      <c r="J56" s="4" t="s">
        <v>315</v>
      </c>
      <c r="K56" s="5" t="s">
        <v>25</v>
      </c>
      <c r="L56" s="4" t="s">
        <v>26</v>
      </c>
      <c r="M56" s="4" t="s">
        <v>27</v>
      </c>
    </row>
    <row r="57" ht="56" customHeight="1" spans="1:13" x14ac:dyDescent="0.25">
      <c r="A57" s="4" t="s">
        <v>316</v>
      </c>
      <c r="B57" s="4" t="s">
        <v>311</v>
      </c>
      <c r="C57" s="4" t="s">
        <v>312</v>
      </c>
      <c r="D57" s="4" t="s">
        <v>317</v>
      </c>
      <c r="E57" s="4" t="s">
        <v>49</v>
      </c>
      <c r="F57" s="4" t="s">
        <v>50</v>
      </c>
      <c r="G57" s="4" t="s">
        <v>318</v>
      </c>
      <c r="H57" s="4" t="s">
        <v>256</v>
      </c>
      <c r="I57" s="4" t="s">
        <v>23</v>
      </c>
      <c r="J57" s="4" t="s">
        <v>319</v>
      </c>
      <c r="K57" s="5" t="s">
        <v>25</v>
      </c>
      <c r="L57" s="4" t="s">
        <v>26</v>
      </c>
      <c r="M57" s="4" t="s">
        <v>27</v>
      </c>
    </row>
    <row r="58" ht="56" customHeight="1" spans="1:13" x14ac:dyDescent="0.25">
      <c r="A58" s="4" t="s">
        <v>320</v>
      </c>
      <c r="B58" s="4" t="s">
        <v>311</v>
      </c>
      <c r="C58" s="4" t="s">
        <v>312</v>
      </c>
      <c r="D58" s="4" t="s">
        <v>321</v>
      </c>
      <c r="E58" s="4" t="s">
        <v>49</v>
      </c>
      <c r="F58" s="4" t="s">
        <v>30</v>
      </c>
      <c r="G58" s="4" t="s">
        <v>322</v>
      </c>
      <c r="H58" s="4" t="s">
        <v>261</v>
      </c>
      <c r="I58" s="4" t="s">
        <v>23</v>
      </c>
      <c r="J58" s="4" t="s">
        <v>323</v>
      </c>
      <c r="K58" s="5" t="s">
        <v>25</v>
      </c>
      <c r="L58" s="4" t="s">
        <v>26</v>
      </c>
      <c r="M58" s="4" t="s">
        <v>27</v>
      </c>
    </row>
    <row r="59" ht="56" customHeight="1" spans="1:13" x14ac:dyDescent="0.25">
      <c r="A59" s="4" t="s">
        <v>324</v>
      </c>
      <c r="B59" s="4" t="s">
        <v>311</v>
      </c>
      <c r="C59" s="4" t="s">
        <v>312</v>
      </c>
      <c r="D59" s="4" t="s">
        <v>325</v>
      </c>
      <c r="E59" s="4" t="s">
        <v>68</v>
      </c>
      <c r="F59" s="4" t="s">
        <v>161</v>
      </c>
      <c r="G59" s="4" t="s">
        <v>326</v>
      </c>
      <c r="H59" s="4" t="s">
        <v>266</v>
      </c>
      <c r="I59" s="4" t="s">
        <v>23</v>
      </c>
      <c r="J59" s="4" t="s">
        <v>327</v>
      </c>
      <c r="K59" s="5" t="s">
        <v>25</v>
      </c>
      <c r="L59" s="4" t="s">
        <v>26</v>
      </c>
      <c r="M59" s="4" t="s">
        <v>27</v>
      </c>
    </row>
    <row r="60" ht="56" customHeight="1" spans="1:13" x14ac:dyDescent="0.25">
      <c r="A60" s="4" t="s">
        <v>328</v>
      </c>
      <c r="B60" s="4" t="s">
        <v>311</v>
      </c>
      <c r="C60" s="4" t="s">
        <v>312</v>
      </c>
      <c r="D60" s="4" t="s">
        <v>329</v>
      </c>
      <c r="E60" s="4" t="s">
        <v>49</v>
      </c>
      <c r="F60" s="4" t="s">
        <v>20</v>
      </c>
      <c r="G60" s="4" t="s">
        <v>330</v>
      </c>
      <c r="H60" s="4" t="s">
        <v>273</v>
      </c>
      <c r="I60" s="4" t="s">
        <v>23</v>
      </c>
      <c r="J60" s="4" t="s">
        <v>331</v>
      </c>
      <c r="K60" s="5" t="s">
        <v>25</v>
      </c>
      <c r="L60" s="4" t="s">
        <v>26</v>
      </c>
      <c r="M60" s="4" t="s">
        <v>27</v>
      </c>
    </row>
    <row r="61" ht="56" customHeight="1" spans="1:13" x14ac:dyDescent="0.25">
      <c r="A61" s="4" t="s">
        <v>332</v>
      </c>
      <c r="B61" s="4" t="s">
        <v>311</v>
      </c>
      <c r="C61" s="4" t="s">
        <v>312</v>
      </c>
      <c r="D61" s="4" t="s">
        <v>333</v>
      </c>
      <c r="E61" s="4" t="s">
        <v>68</v>
      </c>
      <c r="F61" s="4" t="s">
        <v>30</v>
      </c>
      <c r="G61" s="4" t="s">
        <v>334</v>
      </c>
      <c r="H61" s="4" t="s">
        <v>278</v>
      </c>
      <c r="I61" s="4" t="s">
        <v>23</v>
      </c>
      <c r="J61" s="4" t="s">
        <v>335</v>
      </c>
      <c r="K61" s="5" t="s">
        <v>25</v>
      </c>
      <c r="L61" s="4" t="s">
        <v>26</v>
      </c>
      <c r="M61" s="4" t="s">
        <v>27</v>
      </c>
    </row>
    <row r="62" ht="82" customHeight="1" spans="1:13" x14ac:dyDescent="0.25">
      <c r="A62" s="4" t="s">
        <v>336</v>
      </c>
      <c r="B62" s="4" t="s">
        <v>311</v>
      </c>
      <c r="C62" s="4" t="s">
        <v>312</v>
      </c>
      <c r="D62" s="4" t="s">
        <v>337</v>
      </c>
      <c r="E62" s="4" t="s">
        <v>49</v>
      </c>
      <c r="F62" s="4" t="s">
        <v>20</v>
      </c>
      <c r="G62" s="4" t="s">
        <v>282</v>
      </c>
      <c r="H62" s="4" t="s">
        <v>338</v>
      </c>
      <c r="I62" s="4" t="s">
        <v>23</v>
      </c>
      <c r="J62" s="4" t="s">
        <v>339</v>
      </c>
      <c r="K62" s="5" t="s">
        <v>25</v>
      </c>
      <c r="L62" s="4" t="s">
        <v>26</v>
      </c>
      <c r="M62" s="4" t="s">
        <v>27</v>
      </c>
    </row>
    <row r="63" ht="56" customHeight="1" spans="1:13" x14ac:dyDescent="0.25">
      <c r="A63" s="4" t="s">
        <v>340</v>
      </c>
      <c r="B63" s="4" t="s">
        <v>311</v>
      </c>
      <c r="C63" s="4" t="s">
        <v>312</v>
      </c>
      <c r="D63" s="4" t="s">
        <v>341</v>
      </c>
      <c r="E63" s="4" t="s">
        <v>68</v>
      </c>
      <c r="F63" s="4" t="s">
        <v>30</v>
      </c>
      <c r="G63" s="4" t="s">
        <v>287</v>
      </c>
      <c r="H63" s="4" t="s">
        <v>288</v>
      </c>
      <c r="I63" s="4" t="s">
        <v>23</v>
      </c>
      <c r="J63" s="4" t="s">
        <v>342</v>
      </c>
      <c r="K63" s="5" t="s">
        <v>25</v>
      </c>
      <c r="L63" s="4" t="s">
        <v>26</v>
      </c>
      <c r="M63" s="4" t="s">
        <v>27</v>
      </c>
    </row>
    <row r="64" ht="108" customHeight="1" spans="1:13" x14ac:dyDescent="0.25">
      <c r="A64" s="4" t="s">
        <v>343</v>
      </c>
      <c r="B64" s="4" t="s">
        <v>311</v>
      </c>
      <c r="C64" s="4" t="s">
        <v>312</v>
      </c>
      <c r="D64" s="4" t="s">
        <v>344</v>
      </c>
      <c r="E64" s="4" t="s">
        <v>49</v>
      </c>
      <c r="F64" s="4" t="s">
        <v>161</v>
      </c>
      <c r="G64" s="4" t="s">
        <v>345</v>
      </c>
      <c r="H64" s="4" t="s">
        <v>346</v>
      </c>
      <c r="I64" s="4" t="s">
        <v>23</v>
      </c>
      <c r="J64" s="4" t="s">
        <v>347</v>
      </c>
      <c r="K64" s="5" t="s">
        <v>25</v>
      </c>
      <c r="L64" s="4" t="s">
        <v>26</v>
      </c>
      <c r="M64" s="4" t="s">
        <v>27</v>
      </c>
    </row>
    <row r="65" ht="95" customHeight="1" spans="1:13" x14ac:dyDescent="0.25">
      <c r="A65" s="4" t="s">
        <v>348</v>
      </c>
      <c r="B65" s="4" t="s">
        <v>311</v>
      </c>
      <c r="C65" s="4" t="s">
        <v>312</v>
      </c>
      <c r="D65" s="4" t="s">
        <v>349</v>
      </c>
      <c r="E65" s="4" t="s">
        <v>68</v>
      </c>
      <c r="F65" s="4" t="s">
        <v>30</v>
      </c>
      <c r="G65" s="4" t="s">
        <v>350</v>
      </c>
      <c r="H65" s="4" t="s">
        <v>293</v>
      </c>
      <c r="I65" s="4" t="s">
        <v>23</v>
      </c>
      <c r="J65" s="4" t="s">
        <v>351</v>
      </c>
      <c r="K65" s="5" t="s">
        <v>25</v>
      </c>
      <c r="L65" s="4" t="s">
        <v>26</v>
      </c>
      <c r="M65" s="4" t="s">
        <v>27</v>
      </c>
    </row>
    <row r="66" ht="147" customHeight="1" spans="1:13" x14ac:dyDescent="0.25">
      <c r="A66" s="4" t="s">
        <v>352</v>
      </c>
      <c r="B66" s="4" t="s">
        <v>311</v>
      </c>
      <c r="C66" s="4" t="s">
        <v>312</v>
      </c>
      <c r="D66" s="4" t="s">
        <v>353</v>
      </c>
      <c r="E66" s="4" t="s">
        <v>68</v>
      </c>
      <c r="F66" s="4" t="s">
        <v>20</v>
      </c>
      <c r="G66" s="4" t="s">
        <v>354</v>
      </c>
      <c r="H66" s="4" t="s">
        <v>355</v>
      </c>
      <c r="I66" s="4" t="s">
        <v>23</v>
      </c>
      <c r="J66" s="4" t="s">
        <v>356</v>
      </c>
      <c r="K66" s="5" t="s">
        <v>25</v>
      </c>
      <c r="L66" s="4" t="s">
        <v>26</v>
      </c>
      <c r="M66" s="4" t="s">
        <v>27</v>
      </c>
    </row>
    <row r="67" ht="82" customHeight="1" spans="1:13" x14ac:dyDescent="0.25">
      <c r="A67" s="4" t="s">
        <v>357</v>
      </c>
      <c r="B67" s="4" t="s">
        <v>358</v>
      </c>
      <c r="C67" s="4" t="s">
        <v>359</v>
      </c>
      <c r="D67" s="4" t="s">
        <v>360</v>
      </c>
      <c r="E67" s="4" t="s">
        <v>49</v>
      </c>
      <c r="F67" s="4" t="s">
        <v>20</v>
      </c>
      <c r="G67" s="4" t="s">
        <v>361</v>
      </c>
      <c r="H67" s="4" t="s">
        <v>251</v>
      </c>
      <c r="I67" s="4" t="s">
        <v>23</v>
      </c>
      <c r="J67" s="4" t="s">
        <v>362</v>
      </c>
      <c r="K67" s="5" t="s">
        <v>25</v>
      </c>
      <c r="L67" s="4" t="s">
        <v>26</v>
      </c>
      <c r="M67" s="4" t="s">
        <v>27</v>
      </c>
    </row>
    <row r="68" ht="56" customHeight="1" spans="1:13" x14ac:dyDescent="0.25">
      <c r="A68" s="4" t="s">
        <v>363</v>
      </c>
      <c r="B68" s="4" t="s">
        <v>358</v>
      </c>
      <c r="C68" s="4" t="s">
        <v>359</v>
      </c>
      <c r="D68" s="4" t="s">
        <v>364</v>
      </c>
      <c r="E68" s="4" t="s">
        <v>49</v>
      </c>
      <c r="F68" s="4" t="s">
        <v>50</v>
      </c>
      <c r="G68" s="4" t="s">
        <v>365</v>
      </c>
      <c r="H68" s="4" t="s">
        <v>256</v>
      </c>
      <c r="I68" s="4" t="s">
        <v>23</v>
      </c>
      <c r="J68" s="4" t="s">
        <v>366</v>
      </c>
      <c r="K68" s="5" t="s">
        <v>25</v>
      </c>
      <c r="L68" s="4" t="s">
        <v>26</v>
      </c>
      <c r="M68" s="4" t="s">
        <v>27</v>
      </c>
    </row>
    <row r="69" ht="56" customHeight="1" spans="1:13" x14ac:dyDescent="0.25">
      <c r="A69" s="4" t="s">
        <v>367</v>
      </c>
      <c r="B69" s="4" t="s">
        <v>358</v>
      </c>
      <c r="C69" s="4" t="s">
        <v>359</v>
      </c>
      <c r="D69" s="4" t="s">
        <v>368</v>
      </c>
      <c r="E69" s="4" t="s">
        <v>49</v>
      </c>
      <c r="F69" s="4" t="s">
        <v>30</v>
      </c>
      <c r="G69" s="4" t="s">
        <v>369</v>
      </c>
      <c r="H69" s="4" t="s">
        <v>261</v>
      </c>
      <c r="I69" s="4" t="s">
        <v>23</v>
      </c>
      <c r="J69" s="4" t="s">
        <v>370</v>
      </c>
      <c r="K69" s="5" t="s">
        <v>25</v>
      </c>
      <c r="L69" s="4" t="s">
        <v>26</v>
      </c>
      <c r="M69" s="4" t="s">
        <v>27</v>
      </c>
    </row>
    <row r="70" ht="56" customHeight="1" spans="1:13" x14ac:dyDescent="0.25">
      <c r="A70" s="4" t="s">
        <v>371</v>
      </c>
      <c r="B70" s="4" t="s">
        <v>358</v>
      </c>
      <c r="C70" s="4" t="s">
        <v>359</v>
      </c>
      <c r="D70" s="4" t="s">
        <v>372</v>
      </c>
      <c r="E70" s="4" t="s">
        <v>68</v>
      </c>
      <c r="F70" s="4" t="s">
        <v>161</v>
      </c>
      <c r="G70" s="4" t="s">
        <v>373</v>
      </c>
      <c r="H70" s="4" t="s">
        <v>266</v>
      </c>
      <c r="I70" s="4" t="s">
        <v>23</v>
      </c>
      <c r="J70" s="4" t="s">
        <v>374</v>
      </c>
      <c r="K70" s="5" t="s">
        <v>25</v>
      </c>
      <c r="L70" s="4" t="s">
        <v>26</v>
      </c>
      <c r="M70" s="4" t="s">
        <v>27</v>
      </c>
    </row>
    <row r="71" ht="56" customHeight="1" spans="1:13" x14ac:dyDescent="0.25">
      <c r="A71" s="4" t="s">
        <v>375</v>
      </c>
      <c r="B71" s="4" t="s">
        <v>358</v>
      </c>
      <c r="C71" s="4" t="s">
        <v>359</v>
      </c>
      <c r="D71" s="4" t="s">
        <v>376</v>
      </c>
      <c r="E71" s="4" t="s">
        <v>49</v>
      </c>
      <c r="F71" s="4" t="s">
        <v>20</v>
      </c>
      <c r="G71" s="4" t="s">
        <v>377</v>
      </c>
      <c r="H71" s="4" t="s">
        <v>273</v>
      </c>
      <c r="I71" s="4" t="s">
        <v>23</v>
      </c>
      <c r="J71" s="4" t="s">
        <v>378</v>
      </c>
      <c r="K71" s="5" t="s">
        <v>25</v>
      </c>
      <c r="L71" s="4" t="s">
        <v>26</v>
      </c>
      <c r="M71" s="4" t="s">
        <v>27</v>
      </c>
    </row>
    <row r="72" ht="56" customHeight="1" spans="1:13" x14ac:dyDescent="0.25">
      <c r="A72" s="4" t="s">
        <v>379</v>
      </c>
      <c r="B72" s="4" t="s">
        <v>358</v>
      </c>
      <c r="C72" s="4" t="s">
        <v>359</v>
      </c>
      <c r="D72" s="4" t="s">
        <v>380</v>
      </c>
      <c r="E72" s="4" t="s">
        <v>68</v>
      </c>
      <c r="F72" s="4" t="s">
        <v>30</v>
      </c>
      <c r="G72" s="4" t="s">
        <v>381</v>
      </c>
      <c r="H72" s="4" t="s">
        <v>278</v>
      </c>
      <c r="I72" s="4" t="s">
        <v>23</v>
      </c>
      <c r="J72" s="4" t="s">
        <v>382</v>
      </c>
      <c r="K72" s="5" t="s">
        <v>25</v>
      </c>
      <c r="L72" s="4" t="s">
        <v>26</v>
      </c>
      <c r="M72" s="4" t="s">
        <v>27</v>
      </c>
    </row>
    <row r="73" ht="82" customHeight="1" spans="1:13" x14ac:dyDescent="0.25">
      <c r="A73" s="4" t="s">
        <v>383</v>
      </c>
      <c r="B73" s="4" t="s">
        <v>358</v>
      </c>
      <c r="C73" s="4" t="s">
        <v>359</v>
      </c>
      <c r="D73" s="4" t="s">
        <v>384</v>
      </c>
      <c r="E73" s="4" t="s">
        <v>49</v>
      </c>
      <c r="F73" s="4" t="s">
        <v>20</v>
      </c>
      <c r="G73" s="4" t="s">
        <v>282</v>
      </c>
      <c r="H73" s="4" t="s">
        <v>338</v>
      </c>
      <c r="I73" s="4" t="s">
        <v>23</v>
      </c>
      <c r="J73" s="4" t="s">
        <v>385</v>
      </c>
      <c r="K73" s="5" t="s">
        <v>25</v>
      </c>
      <c r="L73" s="4" t="s">
        <v>26</v>
      </c>
      <c r="M73" s="4" t="s">
        <v>27</v>
      </c>
    </row>
    <row r="74" ht="56" customHeight="1" spans="1:13" x14ac:dyDescent="0.25">
      <c r="A74" s="4" t="s">
        <v>386</v>
      </c>
      <c r="B74" s="4" t="s">
        <v>358</v>
      </c>
      <c r="C74" s="4" t="s">
        <v>359</v>
      </c>
      <c r="D74" s="4" t="s">
        <v>387</v>
      </c>
      <c r="E74" s="4" t="s">
        <v>68</v>
      </c>
      <c r="F74" s="4" t="s">
        <v>30</v>
      </c>
      <c r="G74" s="4" t="s">
        <v>287</v>
      </c>
      <c r="H74" s="4" t="s">
        <v>288</v>
      </c>
      <c r="I74" s="4" t="s">
        <v>23</v>
      </c>
      <c r="J74" s="4" t="s">
        <v>388</v>
      </c>
      <c r="K74" s="5" t="s">
        <v>25</v>
      </c>
      <c r="L74" s="4" t="s">
        <v>26</v>
      </c>
      <c r="M74" s="4" t="s">
        <v>27</v>
      </c>
    </row>
    <row r="75" ht="108" customHeight="1" spans="1:13" x14ac:dyDescent="0.25">
      <c r="A75" s="4" t="s">
        <v>389</v>
      </c>
      <c r="B75" s="4" t="s">
        <v>358</v>
      </c>
      <c r="C75" s="4" t="s">
        <v>359</v>
      </c>
      <c r="D75" s="4" t="s">
        <v>390</v>
      </c>
      <c r="E75" s="4" t="s">
        <v>301</v>
      </c>
      <c r="F75" s="4" t="s">
        <v>69</v>
      </c>
      <c r="G75" s="4" t="s">
        <v>391</v>
      </c>
      <c r="H75" s="4" t="s">
        <v>293</v>
      </c>
      <c r="I75" s="4" t="s">
        <v>23</v>
      </c>
      <c r="J75" s="4" t="s">
        <v>392</v>
      </c>
      <c r="K75" s="5" t="s">
        <v>25</v>
      </c>
      <c r="L75" s="4" t="s">
        <v>26</v>
      </c>
      <c r="M75" s="4" t="s">
        <v>27</v>
      </c>
    </row>
    <row r="76" ht="56" customHeight="1" spans="1:13" x14ac:dyDescent="0.25">
      <c r="A76" s="4" t="s">
        <v>393</v>
      </c>
      <c r="B76" s="4" t="s">
        <v>394</v>
      </c>
      <c r="C76" s="4" t="s">
        <v>395</v>
      </c>
      <c r="D76" s="4" t="s">
        <v>396</v>
      </c>
      <c r="E76" s="4" t="s">
        <v>49</v>
      </c>
      <c r="F76" s="4" t="s">
        <v>20</v>
      </c>
      <c r="G76" s="4" t="s">
        <v>397</v>
      </c>
      <c r="H76" s="4" t="s">
        <v>251</v>
      </c>
      <c r="I76" s="4" t="s">
        <v>23</v>
      </c>
      <c r="J76" s="4" t="s">
        <v>398</v>
      </c>
      <c r="K76" s="5" t="s">
        <v>25</v>
      </c>
      <c r="L76" s="4" t="s">
        <v>26</v>
      </c>
      <c r="M76" s="4" t="s">
        <v>27</v>
      </c>
    </row>
    <row r="77" ht="56" customHeight="1" spans="1:13" x14ac:dyDescent="0.25">
      <c r="A77" s="4" t="s">
        <v>399</v>
      </c>
      <c r="B77" s="4" t="s">
        <v>394</v>
      </c>
      <c r="C77" s="4" t="s">
        <v>395</v>
      </c>
      <c r="D77" s="4" t="s">
        <v>400</v>
      </c>
      <c r="E77" s="4" t="s">
        <v>49</v>
      </c>
      <c r="F77" s="4" t="s">
        <v>50</v>
      </c>
      <c r="G77" s="4" t="s">
        <v>401</v>
      </c>
      <c r="H77" s="4" t="s">
        <v>256</v>
      </c>
      <c r="I77" s="4" t="s">
        <v>23</v>
      </c>
      <c r="J77" s="4" t="s">
        <v>402</v>
      </c>
      <c r="K77" s="5" t="s">
        <v>25</v>
      </c>
      <c r="L77" s="4" t="s">
        <v>26</v>
      </c>
      <c r="M77" s="4" t="s">
        <v>27</v>
      </c>
    </row>
    <row r="78" ht="56" customHeight="1" spans="1:13" x14ac:dyDescent="0.25">
      <c r="A78" s="4" t="s">
        <v>403</v>
      </c>
      <c r="B78" s="4" t="s">
        <v>394</v>
      </c>
      <c r="C78" s="4" t="s">
        <v>395</v>
      </c>
      <c r="D78" s="4" t="s">
        <v>404</v>
      </c>
      <c r="E78" s="4" t="s">
        <v>49</v>
      </c>
      <c r="F78" s="4" t="s">
        <v>30</v>
      </c>
      <c r="G78" s="4" t="s">
        <v>405</v>
      </c>
      <c r="H78" s="4" t="s">
        <v>261</v>
      </c>
      <c r="I78" s="4" t="s">
        <v>23</v>
      </c>
      <c r="J78" s="4" t="s">
        <v>406</v>
      </c>
      <c r="K78" s="5" t="s">
        <v>25</v>
      </c>
      <c r="L78" s="4" t="s">
        <v>26</v>
      </c>
      <c r="M78" s="4" t="s">
        <v>27</v>
      </c>
    </row>
    <row r="79" ht="69" customHeight="1" spans="1:13" x14ac:dyDescent="0.25">
      <c r="A79" s="4" t="s">
        <v>407</v>
      </c>
      <c r="B79" s="4" t="s">
        <v>394</v>
      </c>
      <c r="C79" s="4" t="s">
        <v>395</v>
      </c>
      <c r="D79" s="4" t="s">
        <v>408</v>
      </c>
      <c r="E79" s="4" t="s">
        <v>68</v>
      </c>
      <c r="F79" s="4" t="s">
        <v>161</v>
      </c>
      <c r="G79" s="4" t="s">
        <v>409</v>
      </c>
      <c r="H79" s="4" t="s">
        <v>266</v>
      </c>
      <c r="I79" s="4" t="s">
        <v>23</v>
      </c>
      <c r="J79" s="4" t="s">
        <v>410</v>
      </c>
      <c r="K79" s="5" t="s">
        <v>25</v>
      </c>
      <c r="L79" s="4" t="s">
        <v>26</v>
      </c>
      <c r="M79" s="4" t="s">
        <v>27</v>
      </c>
    </row>
    <row r="80" ht="56" customHeight="1" spans="1:13" x14ac:dyDescent="0.25">
      <c r="A80" s="4" t="s">
        <v>411</v>
      </c>
      <c r="B80" s="4" t="s">
        <v>394</v>
      </c>
      <c r="C80" s="4" t="s">
        <v>395</v>
      </c>
      <c r="D80" s="4" t="s">
        <v>412</v>
      </c>
      <c r="E80" s="4" t="s">
        <v>49</v>
      </c>
      <c r="F80" s="4" t="s">
        <v>20</v>
      </c>
      <c r="G80" s="4" t="s">
        <v>413</v>
      </c>
      <c r="H80" s="4" t="s">
        <v>273</v>
      </c>
      <c r="I80" s="4" t="s">
        <v>23</v>
      </c>
      <c r="J80" s="4" t="s">
        <v>414</v>
      </c>
      <c r="K80" s="5" t="s">
        <v>25</v>
      </c>
      <c r="L80" s="4" t="s">
        <v>26</v>
      </c>
      <c r="M80" s="4" t="s">
        <v>27</v>
      </c>
    </row>
    <row r="81" ht="56" customHeight="1" spans="1:13" x14ac:dyDescent="0.25">
      <c r="A81" s="4" t="s">
        <v>415</v>
      </c>
      <c r="B81" s="4" t="s">
        <v>394</v>
      </c>
      <c r="C81" s="4" t="s">
        <v>395</v>
      </c>
      <c r="D81" s="4" t="s">
        <v>416</v>
      </c>
      <c r="E81" s="4" t="s">
        <v>68</v>
      </c>
      <c r="F81" s="4" t="s">
        <v>30</v>
      </c>
      <c r="G81" s="4" t="s">
        <v>417</v>
      </c>
      <c r="H81" s="4" t="s">
        <v>278</v>
      </c>
      <c r="I81" s="4" t="s">
        <v>23</v>
      </c>
      <c r="J81" s="4" t="s">
        <v>418</v>
      </c>
      <c r="K81" s="5" t="s">
        <v>25</v>
      </c>
      <c r="L81" s="4" t="s">
        <v>26</v>
      </c>
      <c r="M81" s="4" t="s">
        <v>27</v>
      </c>
    </row>
    <row r="82" ht="82" customHeight="1" spans="1:13" x14ac:dyDescent="0.25">
      <c r="A82" s="4" t="s">
        <v>419</v>
      </c>
      <c r="B82" s="4" t="s">
        <v>394</v>
      </c>
      <c r="C82" s="4" t="s">
        <v>395</v>
      </c>
      <c r="D82" s="4" t="s">
        <v>420</v>
      </c>
      <c r="E82" s="4" t="s">
        <v>49</v>
      </c>
      <c r="F82" s="4" t="s">
        <v>20</v>
      </c>
      <c r="G82" s="4" t="s">
        <v>282</v>
      </c>
      <c r="H82" s="4" t="s">
        <v>338</v>
      </c>
      <c r="I82" s="4" t="s">
        <v>23</v>
      </c>
      <c r="J82" s="4" t="s">
        <v>421</v>
      </c>
      <c r="K82" s="5" t="s">
        <v>25</v>
      </c>
      <c r="L82" s="4" t="s">
        <v>26</v>
      </c>
      <c r="M82" s="4" t="s">
        <v>27</v>
      </c>
    </row>
    <row r="83" ht="69" customHeight="1" spans="1:13" x14ac:dyDescent="0.25">
      <c r="A83" s="4" t="s">
        <v>422</v>
      </c>
      <c r="B83" s="4" t="s">
        <v>394</v>
      </c>
      <c r="C83" s="4" t="s">
        <v>395</v>
      </c>
      <c r="D83" s="4" t="s">
        <v>423</v>
      </c>
      <c r="E83" s="4" t="s">
        <v>68</v>
      </c>
      <c r="F83" s="4" t="s">
        <v>30</v>
      </c>
      <c r="G83" s="4" t="s">
        <v>287</v>
      </c>
      <c r="H83" s="4" t="s">
        <v>288</v>
      </c>
      <c r="I83" s="4" t="s">
        <v>23</v>
      </c>
      <c r="J83" s="4" t="s">
        <v>424</v>
      </c>
      <c r="K83" s="5" t="s">
        <v>25</v>
      </c>
      <c r="L83" s="4" t="s">
        <v>26</v>
      </c>
      <c r="M83" s="4" t="s">
        <v>27</v>
      </c>
    </row>
    <row r="84" ht="95" customHeight="1" spans="1:13" x14ac:dyDescent="0.25">
      <c r="A84" s="4" t="s">
        <v>425</v>
      </c>
      <c r="B84" s="4" t="s">
        <v>426</v>
      </c>
      <c r="C84" s="4" t="s">
        <v>427</v>
      </c>
      <c r="D84" s="4" t="s">
        <v>428</v>
      </c>
      <c r="E84" s="4" t="s">
        <v>49</v>
      </c>
      <c r="F84" s="4" t="s">
        <v>20</v>
      </c>
      <c r="G84" s="4" t="s">
        <v>429</v>
      </c>
      <c r="H84" s="4" t="s">
        <v>251</v>
      </c>
      <c r="I84" s="4" t="s">
        <v>23</v>
      </c>
      <c r="J84" s="4" t="s">
        <v>430</v>
      </c>
      <c r="K84" s="5" t="s">
        <v>25</v>
      </c>
      <c r="L84" s="4" t="s">
        <v>26</v>
      </c>
      <c r="M84" s="4" t="s">
        <v>27</v>
      </c>
    </row>
    <row r="85" ht="56" customHeight="1" spans="1:13" x14ac:dyDescent="0.25">
      <c r="A85" s="4" t="s">
        <v>431</v>
      </c>
      <c r="B85" s="4" t="s">
        <v>426</v>
      </c>
      <c r="C85" s="4" t="s">
        <v>427</v>
      </c>
      <c r="D85" s="4" t="s">
        <v>432</v>
      </c>
      <c r="E85" s="4" t="s">
        <v>49</v>
      </c>
      <c r="F85" s="4" t="s">
        <v>50</v>
      </c>
      <c r="G85" s="4" t="s">
        <v>433</v>
      </c>
      <c r="H85" s="4" t="s">
        <v>256</v>
      </c>
      <c r="I85" s="4" t="s">
        <v>23</v>
      </c>
      <c r="J85" s="4" t="s">
        <v>434</v>
      </c>
      <c r="K85" s="5" t="s">
        <v>25</v>
      </c>
      <c r="L85" s="4" t="s">
        <v>26</v>
      </c>
      <c r="M85" s="4" t="s">
        <v>27</v>
      </c>
    </row>
    <row r="86" ht="69" customHeight="1" spans="1:13" x14ac:dyDescent="0.25">
      <c r="A86" s="4" t="s">
        <v>435</v>
      </c>
      <c r="B86" s="4" t="s">
        <v>426</v>
      </c>
      <c r="C86" s="4" t="s">
        <v>427</v>
      </c>
      <c r="D86" s="4" t="s">
        <v>436</v>
      </c>
      <c r="E86" s="4" t="s">
        <v>49</v>
      </c>
      <c r="F86" s="4" t="s">
        <v>30</v>
      </c>
      <c r="G86" s="4" t="s">
        <v>437</v>
      </c>
      <c r="H86" s="4" t="s">
        <v>261</v>
      </c>
      <c r="I86" s="4" t="s">
        <v>23</v>
      </c>
      <c r="J86" s="4" t="s">
        <v>438</v>
      </c>
      <c r="K86" s="5" t="s">
        <v>25</v>
      </c>
      <c r="L86" s="4" t="s">
        <v>26</v>
      </c>
      <c r="M86" s="4" t="s">
        <v>27</v>
      </c>
    </row>
    <row r="87" ht="69" customHeight="1" spans="1:13" x14ac:dyDescent="0.25">
      <c r="A87" s="4" t="s">
        <v>439</v>
      </c>
      <c r="B87" s="4" t="s">
        <v>426</v>
      </c>
      <c r="C87" s="4" t="s">
        <v>427</v>
      </c>
      <c r="D87" s="4" t="s">
        <v>440</v>
      </c>
      <c r="E87" s="4" t="s">
        <v>68</v>
      </c>
      <c r="F87" s="4" t="s">
        <v>161</v>
      </c>
      <c r="G87" s="4" t="s">
        <v>441</v>
      </c>
      <c r="H87" s="4" t="s">
        <v>266</v>
      </c>
      <c r="I87" s="4" t="s">
        <v>23</v>
      </c>
      <c r="J87" s="4" t="s">
        <v>442</v>
      </c>
      <c r="K87" s="5" t="s">
        <v>25</v>
      </c>
      <c r="L87" s="4" t="s">
        <v>26</v>
      </c>
      <c r="M87" s="4" t="s">
        <v>27</v>
      </c>
    </row>
    <row r="88" ht="160" customHeight="1" spans="1:13" x14ac:dyDescent="0.25">
      <c r="A88" s="4" t="s">
        <v>443</v>
      </c>
      <c r="B88" s="4" t="s">
        <v>426</v>
      </c>
      <c r="C88" s="4" t="s">
        <v>427</v>
      </c>
      <c r="D88" s="4" t="s">
        <v>444</v>
      </c>
      <c r="E88" s="4" t="s">
        <v>49</v>
      </c>
      <c r="F88" s="4" t="s">
        <v>161</v>
      </c>
      <c r="G88" s="4" t="s">
        <v>445</v>
      </c>
      <c r="H88" s="4" t="s">
        <v>446</v>
      </c>
      <c r="I88" s="4" t="s">
        <v>23</v>
      </c>
      <c r="J88" s="4" t="s">
        <v>447</v>
      </c>
      <c r="K88" s="5" t="s">
        <v>25</v>
      </c>
      <c r="L88" s="4" t="s">
        <v>26</v>
      </c>
      <c r="M88" s="4" t="s">
        <v>27</v>
      </c>
    </row>
    <row r="89" ht="69" customHeight="1" spans="1:13" x14ac:dyDescent="0.25">
      <c r="A89" s="4" t="s">
        <v>448</v>
      </c>
      <c r="B89" s="4" t="s">
        <v>426</v>
      </c>
      <c r="C89" s="4" t="s">
        <v>427</v>
      </c>
      <c r="D89" s="4" t="s">
        <v>449</v>
      </c>
      <c r="E89" s="4" t="s">
        <v>49</v>
      </c>
      <c r="F89" s="4" t="s">
        <v>20</v>
      </c>
      <c r="G89" s="4" t="s">
        <v>450</v>
      </c>
      <c r="H89" s="4" t="s">
        <v>273</v>
      </c>
      <c r="I89" s="4" t="s">
        <v>23</v>
      </c>
      <c r="J89" s="4" t="s">
        <v>451</v>
      </c>
      <c r="K89" s="5" t="s">
        <v>25</v>
      </c>
      <c r="L89" s="4" t="s">
        <v>26</v>
      </c>
      <c r="M89" s="4" t="s">
        <v>27</v>
      </c>
    </row>
    <row r="90" ht="69" customHeight="1" spans="1:13" x14ac:dyDescent="0.25">
      <c r="A90" s="4" t="s">
        <v>452</v>
      </c>
      <c r="B90" s="4" t="s">
        <v>426</v>
      </c>
      <c r="C90" s="4" t="s">
        <v>427</v>
      </c>
      <c r="D90" s="4" t="s">
        <v>453</v>
      </c>
      <c r="E90" s="4" t="s">
        <v>68</v>
      </c>
      <c r="F90" s="4" t="s">
        <v>30</v>
      </c>
      <c r="G90" s="4" t="s">
        <v>454</v>
      </c>
      <c r="H90" s="4" t="s">
        <v>278</v>
      </c>
      <c r="I90" s="4" t="s">
        <v>23</v>
      </c>
      <c r="J90" s="4" t="s">
        <v>455</v>
      </c>
      <c r="K90" s="5" t="s">
        <v>25</v>
      </c>
      <c r="L90" s="4" t="s">
        <v>26</v>
      </c>
      <c r="M90" s="4" t="s">
        <v>27</v>
      </c>
    </row>
    <row r="91" ht="82" customHeight="1" spans="1:13" x14ac:dyDescent="0.25">
      <c r="A91" s="4" t="s">
        <v>456</v>
      </c>
      <c r="B91" s="4" t="s">
        <v>426</v>
      </c>
      <c r="C91" s="4" t="s">
        <v>427</v>
      </c>
      <c r="D91" s="4" t="s">
        <v>457</v>
      </c>
      <c r="E91" s="4" t="s">
        <v>49</v>
      </c>
      <c r="F91" s="4" t="s">
        <v>20</v>
      </c>
      <c r="G91" s="4" t="s">
        <v>282</v>
      </c>
      <c r="H91" s="4" t="s">
        <v>338</v>
      </c>
      <c r="I91" s="4" t="s">
        <v>23</v>
      </c>
      <c r="J91" s="4" t="s">
        <v>458</v>
      </c>
      <c r="K91" s="5" t="s">
        <v>25</v>
      </c>
      <c r="L91" s="4" t="s">
        <v>26</v>
      </c>
      <c r="M91" s="4" t="s">
        <v>27</v>
      </c>
    </row>
    <row r="92" ht="56" customHeight="1" spans="1:13" x14ac:dyDescent="0.25">
      <c r="A92" s="4" t="s">
        <v>459</v>
      </c>
      <c r="B92" s="4" t="s">
        <v>426</v>
      </c>
      <c r="C92" s="4" t="s">
        <v>427</v>
      </c>
      <c r="D92" s="4" t="s">
        <v>460</v>
      </c>
      <c r="E92" s="4" t="s">
        <v>68</v>
      </c>
      <c r="F92" s="4" t="s">
        <v>30</v>
      </c>
      <c r="G92" s="4" t="s">
        <v>287</v>
      </c>
      <c r="H92" s="4" t="s">
        <v>288</v>
      </c>
      <c r="I92" s="4" t="s">
        <v>23</v>
      </c>
      <c r="J92" s="4" t="s">
        <v>461</v>
      </c>
      <c r="K92" s="5" t="s">
        <v>25</v>
      </c>
      <c r="L92" s="4" t="s">
        <v>26</v>
      </c>
      <c r="M92" s="4" t="s">
        <v>27</v>
      </c>
    </row>
    <row r="93" ht="160" customHeight="1" spans="1:13" x14ac:dyDescent="0.25">
      <c r="A93" s="4" t="s">
        <v>462</v>
      </c>
      <c r="B93" s="4" t="s">
        <v>426</v>
      </c>
      <c r="C93" s="4" t="s">
        <v>427</v>
      </c>
      <c r="D93" s="4" t="s">
        <v>463</v>
      </c>
      <c r="E93" s="4" t="s">
        <v>301</v>
      </c>
      <c r="F93" s="4" t="s">
        <v>30</v>
      </c>
      <c r="G93" s="4" t="s">
        <v>464</v>
      </c>
      <c r="H93" s="4" t="s">
        <v>293</v>
      </c>
      <c r="I93" s="4" t="s">
        <v>23</v>
      </c>
      <c r="J93" s="4" t="s">
        <v>465</v>
      </c>
      <c r="K93" s="5" t="s">
        <v>25</v>
      </c>
      <c r="L93" s="4" t="s">
        <v>26</v>
      </c>
      <c r="M93" s="4" t="s">
        <v>27</v>
      </c>
    </row>
    <row r="94" ht="121" customHeight="1" spans="1:13" x14ac:dyDescent="0.25">
      <c r="A94" s="4" t="s">
        <v>466</v>
      </c>
      <c r="B94" s="4" t="s">
        <v>426</v>
      </c>
      <c r="C94" s="4" t="s">
        <v>427</v>
      </c>
      <c r="D94" s="4" t="s">
        <v>467</v>
      </c>
      <c r="E94" s="4" t="s">
        <v>301</v>
      </c>
      <c r="F94" s="4" t="s">
        <v>20</v>
      </c>
      <c r="G94" s="4" t="s">
        <v>468</v>
      </c>
      <c r="H94" s="4" t="s">
        <v>293</v>
      </c>
      <c r="I94" s="4" t="s">
        <v>23</v>
      </c>
      <c r="J94" s="4" t="s">
        <v>469</v>
      </c>
      <c r="K94" s="5" t="s">
        <v>25</v>
      </c>
      <c r="L94" s="4" t="s">
        <v>26</v>
      </c>
      <c r="M94" s="4" t="s">
        <v>27</v>
      </c>
    </row>
    <row r="95" ht="56" customHeight="1" spans="1:13" x14ac:dyDescent="0.25">
      <c r="A95" s="4" t="s">
        <v>470</v>
      </c>
      <c r="B95" s="4" t="s">
        <v>471</v>
      </c>
      <c r="C95" s="4" t="s">
        <v>472</v>
      </c>
      <c r="D95" s="4" t="s">
        <v>473</v>
      </c>
      <c r="E95" s="4" t="s">
        <v>49</v>
      </c>
      <c r="F95" s="4" t="s">
        <v>214</v>
      </c>
      <c r="G95" s="4" t="s">
        <v>474</v>
      </c>
      <c r="H95" s="4" t="s">
        <v>475</v>
      </c>
      <c r="I95" s="4" t="s">
        <v>23</v>
      </c>
      <c r="J95" s="4" t="s">
        <v>476</v>
      </c>
      <c r="K95" s="5" t="s">
        <v>25</v>
      </c>
      <c r="L95" s="4" t="s">
        <v>26</v>
      </c>
      <c r="M95" s="4" t="s">
        <v>27</v>
      </c>
    </row>
    <row r="96" ht="69" customHeight="1" spans="1:13" x14ac:dyDescent="0.25">
      <c r="A96" s="4" t="s">
        <v>477</v>
      </c>
      <c r="B96" s="4" t="s">
        <v>471</v>
      </c>
      <c r="C96" s="4" t="s">
        <v>472</v>
      </c>
      <c r="D96" s="4" t="s">
        <v>478</v>
      </c>
      <c r="E96" s="4" t="s">
        <v>49</v>
      </c>
      <c r="F96" s="4" t="s">
        <v>50</v>
      </c>
      <c r="G96" s="4" t="s">
        <v>479</v>
      </c>
      <c r="H96" s="4" t="s">
        <v>480</v>
      </c>
      <c r="I96" s="4" t="s">
        <v>23</v>
      </c>
      <c r="J96" s="4" t="s">
        <v>481</v>
      </c>
      <c r="K96" s="5" t="s">
        <v>25</v>
      </c>
      <c r="L96" s="4" t="s">
        <v>26</v>
      </c>
      <c r="M96" s="4" t="s">
        <v>27</v>
      </c>
    </row>
    <row r="97" ht="56" customHeight="1" spans="1:13" x14ac:dyDescent="0.25">
      <c r="A97" s="4" t="s">
        <v>482</v>
      </c>
      <c r="B97" s="4" t="s">
        <v>471</v>
      </c>
      <c r="C97" s="4" t="s">
        <v>472</v>
      </c>
      <c r="D97" s="4" t="s">
        <v>483</v>
      </c>
      <c r="E97" s="4" t="s">
        <v>49</v>
      </c>
      <c r="F97" s="4" t="s">
        <v>50</v>
      </c>
      <c r="G97" s="4" t="s">
        <v>484</v>
      </c>
      <c r="H97" s="4" t="s">
        <v>485</v>
      </c>
      <c r="I97" s="4" t="s">
        <v>23</v>
      </c>
      <c r="J97" s="4" t="s">
        <v>486</v>
      </c>
      <c r="K97" s="5" t="s">
        <v>25</v>
      </c>
      <c r="L97" s="4" t="s">
        <v>26</v>
      </c>
      <c r="M97" s="4" t="s">
        <v>27</v>
      </c>
    </row>
    <row r="98" ht="56" customHeight="1" spans="1:13" x14ac:dyDescent="0.25">
      <c r="A98" s="4" t="s">
        <v>487</v>
      </c>
      <c r="B98" s="4" t="s">
        <v>471</v>
      </c>
      <c r="C98" s="4" t="s">
        <v>472</v>
      </c>
      <c r="D98" s="4" t="s">
        <v>488</v>
      </c>
      <c r="E98" s="4" t="s">
        <v>49</v>
      </c>
      <c r="F98" s="4" t="s">
        <v>50</v>
      </c>
      <c r="G98" s="4" t="s">
        <v>489</v>
      </c>
      <c r="H98" s="4" t="s">
        <v>490</v>
      </c>
      <c r="I98" s="4" t="s">
        <v>23</v>
      </c>
      <c r="J98" s="4" t="s">
        <v>491</v>
      </c>
      <c r="K98" s="5" t="s">
        <v>25</v>
      </c>
      <c r="L98" s="4" t="s">
        <v>26</v>
      </c>
      <c r="M98" s="4" t="s">
        <v>27</v>
      </c>
    </row>
    <row r="99" ht="69" customHeight="1" spans="1:13" x14ac:dyDescent="0.25">
      <c r="A99" s="4" t="s">
        <v>492</v>
      </c>
      <c r="B99" s="4" t="s">
        <v>471</v>
      </c>
      <c r="C99" s="4" t="s">
        <v>472</v>
      </c>
      <c r="D99" s="4" t="s">
        <v>493</v>
      </c>
      <c r="E99" s="4" t="s">
        <v>49</v>
      </c>
      <c r="F99" s="4" t="s">
        <v>20</v>
      </c>
      <c r="G99" s="4" t="s">
        <v>494</v>
      </c>
      <c r="H99" s="4" t="s">
        <v>495</v>
      </c>
      <c r="I99" s="4" t="s">
        <v>23</v>
      </c>
      <c r="J99" s="4" t="s">
        <v>496</v>
      </c>
      <c r="K99" s="5" t="s">
        <v>25</v>
      </c>
      <c r="L99" s="4" t="s">
        <v>26</v>
      </c>
      <c r="M99" s="4" t="s">
        <v>27</v>
      </c>
    </row>
    <row r="100" ht="121" customHeight="1" spans="1:13" x14ac:dyDescent="0.25">
      <c r="A100" s="4" t="s">
        <v>497</v>
      </c>
      <c r="B100" s="4" t="s">
        <v>498</v>
      </c>
      <c r="C100" s="4" t="s">
        <v>499</v>
      </c>
      <c r="D100" s="4" t="s">
        <v>500</v>
      </c>
      <c r="E100" s="4" t="s">
        <v>49</v>
      </c>
      <c r="F100" s="4" t="s">
        <v>20</v>
      </c>
      <c r="G100" s="4" t="s">
        <v>314</v>
      </c>
      <c r="H100" s="4" t="s">
        <v>501</v>
      </c>
      <c r="I100" s="6" t="s">
        <v>502</v>
      </c>
      <c r="J100" s="4" t="s">
        <v>503</v>
      </c>
      <c r="K100" s="5" t="s">
        <v>25</v>
      </c>
      <c r="L100" s="4" t="s">
        <v>26</v>
      </c>
      <c r="M100" s="4" t="s">
        <v>27</v>
      </c>
    </row>
    <row r="101" ht="56" customHeight="1" spans="1:13" x14ac:dyDescent="0.25">
      <c r="A101" s="4" t="s">
        <v>504</v>
      </c>
      <c r="B101" s="4" t="s">
        <v>498</v>
      </c>
      <c r="C101" s="4" t="s">
        <v>499</v>
      </c>
      <c r="D101" s="4" t="s">
        <v>317</v>
      </c>
      <c r="E101" s="4" t="s">
        <v>49</v>
      </c>
      <c r="F101" s="4" t="s">
        <v>50</v>
      </c>
      <c r="G101" s="4" t="s">
        <v>318</v>
      </c>
      <c r="H101" s="4" t="s">
        <v>256</v>
      </c>
      <c r="I101" s="4" t="s">
        <v>23</v>
      </c>
      <c r="J101" s="4" t="s">
        <v>505</v>
      </c>
      <c r="K101" s="5" t="s">
        <v>25</v>
      </c>
      <c r="L101" s="4" t="s">
        <v>26</v>
      </c>
      <c r="M101" s="4" t="s">
        <v>27</v>
      </c>
    </row>
    <row r="102" ht="56" customHeight="1" spans="1:13" x14ac:dyDescent="0.25">
      <c r="A102" s="4" t="s">
        <v>506</v>
      </c>
      <c r="B102" s="4" t="s">
        <v>498</v>
      </c>
      <c r="C102" s="4" t="s">
        <v>499</v>
      </c>
      <c r="D102" s="4" t="s">
        <v>321</v>
      </c>
      <c r="E102" s="4" t="s">
        <v>49</v>
      </c>
      <c r="F102" s="4" t="s">
        <v>30</v>
      </c>
      <c r="G102" s="4" t="s">
        <v>322</v>
      </c>
      <c r="H102" s="4" t="s">
        <v>261</v>
      </c>
      <c r="I102" s="4" t="s">
        <v>23</v>
      </c>
      <c r="J102" s="4" t="s">
        <v>507</v>
      </c>
      <c r="K102" s="5" t="s">
        <v>25</v>
      </c>
      <c r="L102" s="4" t="s">
        <v>26</v>
      </c>
      <c r="M102" s="4" t="s">
        <v>27</v>
      </c>
    </row>
    <row r="103" ht="95" customHeight="1" spans="1:13" x14ac:dyDescent="0.25">
      <c r="A103" s="4" t="s">
        <v>508</v>
      </c>
      <c r="B103" s="4" t="s">
        <v>498</v>
      </c>
      <c r="C103" s="4" t="s">
        <v>499</v>
      </c>
      <c r="D103" s="4" t="s">
        <v>325</v>
      </c>
      <c r="E103" s="4" t="s">
        <v>68</v>
      </c>
      <c r="F103" s="4" t="s">
        <v>161</v>
      </c>
      <c r="G103" s="4" t="s">
        <v>326</v>
      </c>
      <c r="H103" s="4" t="s">
        <v>266</v>
      </c>
      <c r="I103" s="4" t="s">
        <v>23</v>
      </c>
      <c r="J103" s="4" t="s">
        <v>509</v>
      </c>
      <c r="K103" s="5" t="s">
        <v>25</v>
      </c>
      <c r="L103" s="4" t="s">
        <v>26</v>
      </c>
      <c r="M103" s="4" t="s">
        <v>27</v>
      </c>
    </row>
    <row r="104" ht="56" customHeight="1" spans="1:13" x14ac:dyDescent="0.25">
      <c r="A104" s="4" t="s">
        <v>510</v>
      </c>
      <c r="B104" s="4" t="s">
        <v>498</v>
      </c>
      <c r="C104" s="4" t="s">
        <v>499</v>
      </c>
      <c r="D104" s="4" t="s">
        <v>511</v>
      </c>
      <c r="E104" s="4" t="s">
        <v>49</v>
      </c>
      <c r="F104" s="4" t="s">
        <v>20</v>
      </c>
      <c r="G104" s="4" t="s">
        <v>330</v>
      </c>
      <c r="H104" s="4" t="s">
        <v>273</v>
      </c>
      <c r="I104" s="4" t="s">
        <v>23</v>
      </c>
      <c r="J104" s="4" t="s">
        <v>512</v>
      </c>
      <c r="K104" s="5" t="s">
        <v>25</v>
      </c>
      <c r="L104" s="4" t="s">
        <v>26</v>
      </c>
      <c r="M104" s="4" t="s">
        <v>27</v>
      </c>
    </row>
    <row r="105" ht="69" customHeight="1" spans="1:13" x14ac:dyDescent="0.25">
      <c r="A105" s="4" t="s">
        <v>513</v>
      </c>
      <c r="B105" s="4" t="s">
        <v>498</v>
      </c>
      <c r="C105" s="4" t="s">
        <v>499</v>
      </c>
      <c r="D105" s="4" t="s">
        <v>514</v>
      </c>
      <c r="E105" s="4" t="s">
        <v>68</v>
      </c>
      <c r="F105" s="4" t="s">
        <v>30</v>
      </c>
      <c r="G105" s="4" t="s">
        <v>334</v>
      </c>
      <c r="H105" s="4" t="s">
        <v>278</v>
      </c>
      <c r="I105" s="4" t="s">
        <v>23</v>
      </c>
      <c r="J105" s="4" t="s">
        <v>515</v>
      </c>
      <c r="K105" s="5" t="s">
        <v>25</v>
      </c>
      <c r="L105" s="4" t="s">
        <v>26</v>
      </c>
      <c r="M105" s="4" t="s">
        <v>27</v>
      </c>
    </row>
    <row r="106" ht="95" customHeight="1" spans="1:13" x14ac:dyDescent="0.25">
      <c r="A106" s="4" t="s">
        <v>516</v>
      </c>
      <c r="B106" s="4" t="s">
        <v>498</v>
      </c>
      <c r="C106" s="4" t="s">
        <v>499</v>
      </c>
      <c r="D106" s="4" t="s">
        <v>517</v>
      </c>
      <c r="E106" s="4" t="s">
        <v>49</v>
      </c>
      <c r="F106" s="4" t="s">
        <v>20</v>
      </c>
      <c r="G106" s="4" t="s">
        <v>282</v>
      </c>
      <c r="H106" s="4" t="s">
        <v>338</v>
      </c>
      <c r="I106" s="4" t="s">
        <v>23</v>
      </c>
      <c r="J106" s="4" t="s">
        <v>518</v>
      </c>
      <c r="K106" s="5" t="s">
        <v>25</v>
      </c>
      <c r="L106" s="4" t="s">
        <v>26</v>
      </c>
      <c r="M106" s="4" t="s">
        <v>27</v>
      </c>
    </row>
    <row r="107" ht="69" customHeight="1" spans="1:13" x14ac:dyDescent="0.25">
      <c r="A107" s="4" t="s">
        <v>519</v>
      </c>
      <c r="B107" s="4" t="s">
        <v>498</v>
      </c>
      <c r="C107" s="4" t="s">
        <v>499</v>
      </c>
      <c r="D107" s="4" t="s">
        <v>520</v>
      </c>
      <c r="E107" s="4" t="s">
        <v>68</v>
      </c>
      <c r="F107" s="4" t="s">
        <v>30</v>
      </c>
      <c r="G107" s="4" t="s">
        <v>287</v>
      </c>
      <c r="H107" s="4" t="s">
        <v>288</v>
      </c>
      <c r="I107" s="4" t="s">
        <v>23</v>
      </c>
      <c r="J107" s="4" t="s">
        <v>521</v>
      </c>
      <c r="K107" s="5" t="s">
        <v>25</v>
      </c>
      <c r="L107" s="4" t="s">
        <v>26</v>
      </c>
      <c r="M107" s="4" t="s">
        <v>27</v>
      </c>
    </row>
    <row r="108" ht="82" customHeight="1" spans="1:13" x14ac:dyDescent="0.25">
      <c r="A108" s="4" t="s">
        <v>522</v>
      </c>
      <c r="B108" s="4" t="s">
        <v>498</v>
      </c>
      <c r="C108" s="4" t="s">
        <v>499</v>
      </c>
      <c r="D108" s="4" t="s">
        <v>523</v>
      </c>
      <c r="E108" s="4" t="s">
        <v>301</v>
      </c>
      <c r="F108" s="4" t="s">
        <v>214</v>
      </c>
      <c r="G108" s="4" t="s">
        <v>524</v>
      </c>
      <c r="H108" s="4" t="s">
        <v>293</v>
      </c>
      <c r="I108" s="4" t="s">
        <v>23</v>
      </c>
      <c r="J108" s="4" t="s">
        <v>525</v>
      </c>
      <c r="K108" s="5" t="s">
        <v>25</v>
      </c>
      <c r="L108" s="4" t="s">
        <v>26</v>
      </c>
      <c r="M108" s="4" t="s">
        <v>27</v>
      </c>
    </row>
    <row r="109" ht="108" customHeight="1" spans="1:13" x14ac:dyDescent="0.25">
      <c r="A109" s="4" t="s">
        <v>526</v>
      </c>
      <c r="B109" s="4" t="s">
        <v>498</v>
      </c>
      <c r="C109" s="4" t="s">
        <v>499</v>
      </c>
      <c r="D109" s="4" t="s">
        <v>527</v>
      </c>
      <c r="E109" s="4" t="s">
        <v>68</v>
      </c>
      <c r="F109" s="4" t="s">
        <v>20</v>
      </c>
      <c r="G109" s="4" t="s">
        <v>528</v>
      </c>
      <c r="H109" s="4" t="s">
        <v>529</v>
      </c>
      <c r="I109" s="4" t="s">
        <v>23</v>
      </c>
      <c r="J109" s="4" t="s">
        <v>530</v>
      </c>
      <c r="K109" s="5" t="s">
        <v>25</v>
      </c>
      <c r="L109" s="4" t="s">
        <v>26</v>
      </c>
      <c r="M109" s="4" t="s">
        <v>27</v>
      </c>
    </row>
    <row r="110" ht="121" customHeight="1" spans="1:13" x14ac:dyDescent="0.25">
      <c r="A110" s="4" t="s">
        <v>531</v>
      </c>
      <c r="B110" s="4" t="s">
        <v>532</v>
      </c>
      <c r="C110" s="4" t="s">
        <v>533</v>
      </c>
      <c r="D110" s="4" t="s">
        <v>534</v>
      </c>
      <c r="E110" s="4" t="s">
        <v>68</v>
      </c>
      <c r="F110" s="4" t="s">
        <v>20</v>
      </c>
      <c r="G110" s="4" t="s">
        <v>535</v>
      </c>
      <c r="H110" s="4" t="s">
        <v>536</v>
      </c>
      <c r="I110" s="4" t="s">
        <v>23</v>
      </c>
      <c r="J110" s="4" t="s">
        <v>537</v>
      </c>
      <c r="K110" s="5" t="s">
        <v>25</v>
      </c>
      <c r="L110" s="4" t="s">
        <v>26</v>
      </c>
      <c r="M110" s="4" t="s">
        <v>27</v>
      </c>
    </row>
    <row r="111" ht="160" customHeight="1" spans="1:13" x14ac:dyDescent="0.25">
      <c r="A111" s="4" t="s">
        <v>538</v>
      </c>
      <c r="B111" s="4" t="s">
        <v>532</v>
      </c>
      <c r="C111" s="4" t="s">
        <v>533</v>
      </c>
      <c r="D111" s="4" t="s">
        <v>539</v>
      </c>
      <c r="E111" s="4" t="s">
        <v>68</v>
      </c>
      <c r="F111" s="4" t="s">
        <v>30</v>
      </c>
      <c r="G111" s="4" t="s">
        <v>540</v>
      </c>
      <c r="H111" s="4" t="s">
        <v>541</v>
      </c>
      <c r="I111" s="4" t="s">
        <v>23</v>
      </c>
      <c r="J111" s="4" t="s">
        <v>542</v>
      </c>
      <c r="K111" s="5" t="s">
        <v>25</v>
      </c>
      <c r="L111" s="4" t="s">
        <v>26</v>
      </c>
      <c r="M111" s="4" t="s">
        <v>27</v>
      </c>
    </row>
    <row r="112" ht="69" customHeight="1" spans="1:13" x14ac:dyDescent="0.25">
      <c r="A112" s="4" t="s">
        <v>543</v>
      </c>
      <c r="B112" s="4" t="s">
        <v>532</v>
      </c>
      <c r="C112" s="4" t="s">
        <v>533</v>
      </c>
      <c r="D112" s="4" t="s">
        <v>544</v>
      </c>
      <c r="E112" s="4" t="s">
        <v>68</v>
      </c>
      <c r="F112" s="4" t="s">
        <v>214</v>
      </c>
      <c r="G112" s="4" t="s">
        <v>545</v>
      </c>
      <c r="H112" s="4" t="s">
        <v>546</v>
      </c>
      <c r="I112" s="4" t="s">
        <v>23</v>
      </c>
      <c r="J112" s="4" t="s">
        <v>547</v>
      </c>
      <c r="K112" s="5" t="s">
        <v>25</v>
      </c>
      <c r="L112" s="4" t="s">
        <v>26</v>
      </c>
      <c r="M112" s="4" t="s">
        <v>27</v>
      </c>
    </row>
    <row r="113" ht="56" customHeight="1" spans="1:13" x14ac:dyDescent="0.25">
      <c r="A113" s="4" t="s">
        <v>548</v>
      </c>
      <c r="B113" s="4" t="s">
        <v>498</v>
      </c>
      <c r="C113" s="4" t="s">
        <v>499</v>
      </c>
      <c r="D113" s="4" t="s">
        <v>549</v>
      </c>
      <c r="E113" s="4" t="s">
        <v>301</v>
      </c>
      <c r="F113" s="4" t="s">
        <v>20</v>
      </c>
      <c r="G113" s="4" t="s">
        <v>550</v>
      </c>
      <c r="H113" s="4" t="s">
        <v>293</v>
      </c>
      <c r="I113" s="4" t="s">
        <v>23</v>
      </c>
      <c r="J113" s="4" t="s">
        <v>551</v>
      </c>
      <c r="K113" s="5" t="s">
        <v>25</v>
      </c>
      <c r="L113" s="4" t="s">
        <v>26</v>
      </c>
      <c r="M113" s="4" t="s">
        <v>27</v>
      </c>
    </row>
    <row r="114" ht="56" customHeight="1" spans="1:13" x14ac:dyDescent="0.25">
      <c r="A114" s="4" t="s">
        <v>552</v>
      </c>
      <c r="B114" s="4" t="s">
        <v>498</v>
      </c>
      <c r="C114" s="4" t="s">
        <v>499</v>
      </c>
      <c r="D114" s="4" t="s">
        <v>553</v>
      </c>
      <c r="E114" s="4" t="s">
        <v>301</v>
      </c>
      <c r="F114" s="4" t="s">
        <v>30</v>
      </c>
      <c r="G114" s="4" t="s">
        <v>554</v>
      </c>
      <c r="H114" s="4" t="s">
        <v>293</v>
      </c>
      <c r="I114" s="4" t="s">
        <v>23</v>
      </c>
      <c r="J114" s="4" t="s">
        <v>555</v>
      </c>
      <c r="K114" s="5" t="s">
        <v>25</v>
      </c>
      <c r="L114" s="4" t="s">
        <v>26</v>
      </c>
      <c r="M114" s="4" t="s">
        <v>27</v>
      </c>
    </row>
    <row r="115" ht="56" customHeight="1" spans="1:13" x14ac:dyDescent="0.25">
      <c r="A115" s="4" t="s">
        <v>556</v>
      </c>
      <c r="B115" s="4" t="s">
        <v>498</v>
      </c>
      <c r="C115" s="4" t="s">
        <v>499</v>
      </c>
      <c r="D115" s="4" t="s">
        <v>557</v>
      </c>
      <c r="E115" s="4" t="s">
        <v>301</v>
      </c>
      <c r="F115" s="4" t="s">
        <v>20</v>
      </c>
      <c r="G115" s="4" t="s">
        <v>202</v>
      </c>
      <c r="H115" s="4" t="s">
        <v>293</v>
      </c>
      <c r="I115" s="4" t="s">
        <v>23</v>
      </c>
      <c r="J115" s="4" t="s">
        <v>558</v>
      </c>
      <c r="K115" s="5" t="s">
        <v>25</v>
      </c>
      <c r="L115" s="4" t="s">
        <v>26</v>
      </c>
      <c r="M115" s="4" t="s">
        <v>27</v>
      </c>
    </row>
    <row r="116" ht="56" customHeight="1" spans="1:13" x14ac:dyDescent="0.25">
      <c r="A116" s="4" t="s">
        <v>559</v>
      </c>
      <c r="B116" s="4" t="s">
        <v>560</v>
      </c>
      <c r="C116" s="4" t="s">
        <v>561</v>
      </c>
      <c r="D116" s="4" t="s">
        <v>562</v>
      </c>
      <c r="E116" s="4" t="s">
        <v>49</v>
      </c>
      <c r="F116" s="4" t="s">
        <v>20</v>
      </c>
      <c r="G116" s="4" t="s">
        <v>314</v>
      </c>
      <c r="H116" s="4" t="s">
        <v>251</v>
      </c>
      <c r="I116" s="4" t="s">
        <v>23</v>
      </c>
      <c r="J116" s="4" t="s">
        <v>563</v>
      </c>
      <c r="K116" s="5" t="s">
        <v>25</v>
      </c>
      <c r="L116" s="4" t="s">
        <v>26</v>
      </c>
      <c r="M116" s="4" t="s">
        <v>27</v>
      </c>
    </row>
    <row r="117" ht="56" customHeight="1" spans="1:13" x14ac:dyDescent="0.25">
      <c r="A117" s="4" t="s">
        <v>564</v>
      </c>
      <c r="B117" s="4" t="s">
        <v>560</v>
      </c>
      <c r="C117" s="4" t="s">
        <v>561</v>
      </c>
      <c r="D117" s="4" t="s">
        <v>317</v>
      </c>
      <c r="E117" s="4" t="s">
        <v>49</v>
      </c>
      <c r="F117" s="4" t="s">
        <v>50</v>
      </c>
      <c r="G117" s="4" t="s">
        <v>318</v>
      </c>
      <c r="H117" s="4" t="s">
        <v>256</v>
      </c>
      <c r="I117" s="4" t="s">
        <v>23</v>
      </c>
      <c r="J117" s="4" t="s">
        <v>565</v>
      </c>
      <c r="K117" s="5" t="s">
        <v>25</v>
      </c>
      <c r="L117" s="4" t="s">
        <v>26</v>
      </c>
      <c r="M117" s="4" t="s">
        <v>27</v>
      </c>
    </row>
    <row r="118" ht="56" customHeight="1" spans="1:13" x14ac:dyDescent="0.25">
      <c r="A118" s="4" t="s">
        <v>566</v>
      </c>
      <c r="B118" s="4" t="s">
        <v>560</v>
      </c>
      <c r="C118" s="4" t="s">
        <v>561</v>
      </c>
      <c r="D118" s="4" t="s">
        <v>321</v>
      </c>
      <c r="E118" s="4" t="s">
        <v>49</v>
      </c>
      <c r="F118" s="4" t="s">
        <v>30</v>
      </c>
      <c r="G118" s="4" t="s">
        <v>322</v>
      </c>
      <c r="H118" s="4" t="s">
        <v>261</v>
      </c>
      <c r="I118" s="4" t="s">
        <v>23</v>
      </c>
      <c r="J118" s="4" t="s">
        <v>567</v>
      </c>
      <c r="K118" s="5" t="s">
        <v>25</v>
      </c>
      <c r="L118" s="4" t="s">
        <v>26</v>
      </c>
      <c r="M118" s="4" t="s">
        <v>27</v>
      </c>
    </row>
    <row r="119" ht="56" customHeight="1" spans="1:13" x14ac:dyDescent="0.25">
      <c r="A119" s="4" t="s">
        <v>568</v>
      </c>
      <c r="B119" s="4" t="s">
        <v>560</v>
      </c>
      <c r="C119" s="4" t="s">
        <v>561</v>
      </c>
      <c r="D119" s="4" t="s">
        <v>325</v>
      </c>
      <c r="E119" s="4" t="s">
        <v>68</v>
      </c>
      <c r="F119" s="4" t="s">
        <v>161</v>
      </c>
      <c r="G119" s="4" t="s">
        <v>326</v>
      </c>
      <c r="H119" s="4" t="s">
        <v>266</v>
      </c>
      <c r="I119" s="4" t="s">
        <v>23</v>
      </c>
      <c r="J119" s="4" t="s">
        <v>569</v>
      </c>
      <c r="K119" s="5" t="s">
        <v>25</v>
      </c>
      <c r="L119" s="4" t="s">
        <v>26</v>
      </c>
      <c r="M119" s="4" t="s">
        <v>27</v>
      </c>
    </row>
    <row r="120" ht="56" customHeight="1" spans="1:13" x14ac:dyDescent="0.25">
      <c r="A120" s="4" t="s">
        <v>570</v>
      </c>
      <c r="B120" s="4" t="s">
        <v>560</v>
      </c>
      <c r="C120" s="4" t="s">
        <v>561</v>
      </c>
      <c r="D120" s="4" t="s">
        <v>571</v>
      </c>
      <c r="E120" s="4" t="s">
        <v>49</v>
      </c>
      <c r="F120" s="4" t="s">
        <v>20</v>
      </c>
      <c r="G120" s="4" t="s">
        <v>330</v>
      </c>
      <c r="H120" s="4" t="s">
        <v>273</v>
      </c>
      <c r="I120" s="4" t="s">
        <v>23</v>
      </c>
      <c r="J120" s="4" t="s">
        <v>572</v>
      </c>
      <c r="K120" s="5" t="s">
        <v>25</v>
      </c>
      <c r="L120" s="4" t="s">
        <v>26</v>
      </c>
      <c r="M120" s="4" t="s">
        <v>27</v>
      </c>
    </row>
    <row r="121" ht="56" customHeight="1" spans="1:13" x14ac:dyDescent="0.25">
      <c r="A121" s="4" t="s">
        <v>573</v>
      </c>
      <c r="B121" s="4" t="s">
        <v>560</v>
      </c>
      <c r="C121" s="4" t="s">
        <v>561</v>
      </c>
      <c r="D121" s="4" t="s">
        <v>574</v>
      </c>
      <c r="E121" s="4" t="s">
        <v>68</v>
      </c>
      <c r="F121" s="4" t="s">
        <v>30</v>
      </c>
      <c r="G121" s="4" t="s">
        <v>334</v>
      </c>
      <c r="H121" s="4" t="s">
        <v>278</v>
      </c>
      <c r="I121" s="4" t="s">
        <v>23</v>
      </c>
      <c r="J121" s="4" t="s">
        <v>575</v>
      </c>
      <c r="K121" s="5" t="s">
        <v>25</v>
      </c>
      <c r="L121" s="4" t="s">
        <v>26</v>
      </c>
      <c r="M121" s="4" t="s">
        <v>27</v>
      </c>
    </row>
    <row r="122" ht="134" customHeight="1" spans="1:13" x14ac:dyDescent="0.25">
      <c r="A122" s="4" t="s">
        <v>576</v>
      </c>
      <c r="B122" s="4" t="s">
        <v>560</v>
      </c>
      <c r="C122" s="4" t="s">
        <v>561</v>
      </c>
      <c r="D122" s="4" t="s">
        <v>577</v>
      </c>
      <c r="E122" s="4" t="s">
        <v>49</v>
      </c>
      <c r="F122" s="4" t="s">
        <v>20</v>
      </c>
      <c r="G122" s="4" t="s">
        <v>282</v>
      </c>
      <c r="H122" s="4" t="s">
        <v>283</v>
      </c>
      <c r="I122" s="6" t="s">
        <v>223</v>
      </c>
      <c r="J122" s="4" t="s">
        <v>578</v>
      </c>
      <c r="K122" s="5" t="s">
        <v>25</v>
      </c>
      <c r="L122" s="4" t="s">
        <v>26</v>
      </c>
      <c r="M122" s="4" t="s">
        <v>27</v>
      </c>
    </row>
    <row r="123" ht="56" customHeight="1" spans="1:13" x14ac:dyDescent="0.25">
      <c r="A123" s="4" t="s">
        <v>579</v>
      </c>
      <c r="B123" s="4" t="s">
        <v>560</v>
      </c>
      <c r="C123" s="4" t="s">
        <v>561</v>
      </c>
      <c r="D123" s="4" t="s">
        <v>580</v>
      </c>
      <c r="E123" s="4" t="s">
        <v>68</v>
      </c>
      <c r="F123" s="4" t="s">
        <v>30</v>
      </c>
      <c r="G123" s="4" t="s">
        <v>287</v>
      </c>
      <c r="H123" s="4" t="s">
        <v>288</v>
      </c>
      <c r="I123" s="4" t="s">
        <v>23</v>
      </c>
      <c r="J123" s="4" t="s">
        <v>581</v>
      </c>
      <c r="K123" s="5" t="s">
        <v>25</v>
      </c>
      <c r="L123" s="4" t="s">
        <v>26</v>
      </c>
      <c r="M123" s="4" t="s">
        <v>27</v>
      </c>
    </row>
    <row r="124" ht="82" customHeight="1" spans="1:13" x14ac:dyDescent="0.25">
      <c r="A124" s="4" t="s">
        <v>582</v>
      </c>
      <c r="B124" s="4" t="s">
        <v>560</v>
      </c>
      <c r="C124" s="4" t="s">
        <v>561</v>
      </c>
      <c r="D124" s="4" t="s">
        <v>583</v>
      </c>
      <c r="E124" s="4" t="s">
        <v>49</v>
      </c>
      <c r="F124" s="4" t="s">
        <v>172</v>
      </c>
      <c r="G124" s="4" t="s">
        <v>584</v>
      </c>
      <c r="H124" s="4" t="s">
        <v>585</v>
      </c>
      <c r="I124" s="4" t="s">
        <v>23</v>
      </c>
      <c r="J124" s="4" t="s">
        <v>586</v>
      </c>
      <c r="K124" s="5" t="s">
        <v>25</v>
      </c>
      <c r="L124" s="4" t="s">
        <v>26</v>
      </c>
      <c r="M124" s="4" t="s">
        <v>27</v>
      </c>
    </row>
    <row r="125" ht="56" customHeight="1" spans="1:13" x14ac:dyDescent="0.25">
      <c r="A125" s="4" t="s">
        <v>587</v>
      </c>
      <c r="B125" s="4" t="s">
        <v>588</v>
      </c>
      <c r="C125" s="4" t="s">
        <v>589</v>
      </c>
      <c r="D125" s="4" t="s">
        <v>590</v>
      </c>
      <c r="E125" s="4" t="s">
        <v>49</v>
      </c>
      <c r="F125" s="4" t="s">
        <v>20</v>
      </c>
      <c r="G125" s="4" t="s">
        <v>591</v>
      </c>
      <c r="H125" s="4" t="s">
        <v>251</v>
      </c>
      <c r="I125" s="4" t="s">
        <v>23</v>
      </c>
      <c r="J125" s="4" t="s">
        <v>592</v>
      </c>
      <c r="K125" s="5" t="s">
        <v>25</v>
      </c>
      <c r="L125" s="4" t="s">
        <v>26</v>
      </c>
      <c r="M125" s="4" t="s">
        <v>27</v>
      </c>
    </row>
    <row r="126" ht="56" customHeight="1" spans="1:13" x14ac:dyDescent="0.25">
      <c r="A126" s="4" t="s">
        <v>593</v>
      </c>
      <c r="B126" s="4" t="s">
        <v>588</v>
      </c>
      <c r="C126" s="4" t="s">
        <v>589</v>
      </c>
      <c r="D126" s="4" t="s">
        <v>594</v>
      </c>
      <c r="E126" s="4" t="s">
        <v>49</v>
      </c>
      <c r="F126" s="4" t="s">
        <v>50</v>
      </c>
      <c r="G126" s="4" t="s">
        <v>595</v>
      </c>
      <c r="H126" s="4" t="s">
        <v>256</v>
      </c>
      <c r="I126" s="4" t="s">
        <v>23</v>
      </c>
      <c r="J126" s="4" t="s">
        <v>596</v>
      </c>
      <c r="K126" s="5" t="s">
        <v>25</v>
      </c>
      <c r="L126" s="4" t="s">
        <v>26</v>
      </c>
      <c r="M126" s="4" t="s">
        <v>27</v>
      </c>
    </row>
    <row r="127" ht="56" customHeight="1" spans="1:13" x14ac:dyDescent="0.25">
      <c r="A127" s="4" t="s">
        <v>597</v>
      </c>
      <c r="B127" s="4" t="s">
        <v>588</v>
      </c>
      <c r="C127" s="4" t="s">
        <v>589</v>
      </c>
      <c r="D127" s="4" t="s">
        <v>598</v>
      </c>
      <c r="E127" s="4" t="s">
        <v>49</v>
      </c>
      <c r="F127" s="4" t="s">
        <v>30</v>
      </c>
      <c r="G127" s="4" t="s">
        <v>599</v>
      </c>
      <c r="H127" s="4" t="s">
        <v>261</v>
      </c>
      <c r="I127" s="4" t="s">
        <v>23</v>
      </c>
      <c r="J127" s="4" t="s">
        <v>600</v>
      </c>
      <c r="K127" s="5" t="s">
        <v>25</v>
      </c>
      <c r="L127" s="4" t="s">
        <v>26</v>
      </c>
      <c r="M127" s="4" t="s">
        <v>27</v>
      </c>
    </row>
    <row r="128" ht="56" customHeight="1" spans="1:13" x14ac:dyDescent="0.25">
      <c r="A128" s="4" t="s">
        <v>601</v>
      </c>
      <c r="B128" s="4" t="s">
        <v>588</v>
      </c>
      <c r="C128" s="4" t="s">
        <v>589</v>
      </c>
      <c r="D128" s="4" t="s">
        <v>602</v>
      </c>
      <c r="E128" s="4" t="s">
        <v>68</v>
      </c>
      <c r="F128" s="4" t="s">
        <v>161</v>
      </c>
      <c r="G128" s="4" t="s">
        <v>603</v>
      </c>
      <c r="H128" s="4" t="s">
        <v>266</v>
      </c>
      <c r="I128" s="4" t="s">
        <v>23</v>
      </c>
      <c r="J128" s="4" t="s">
        <v>604</v>
      </c>
      <c r="K128" s="5" t="s">
        <v>25</v>
      </c>
      <c r="L128" s="4" t="s">
        <v>26</v>
      </c>
      <c r="M128" s="4" t="s">
        <v>27</v>
      </c>
    </row>
    <row r="129" ht="56" customHeight="1" spans="1:13" x14ac:dyDescent="0.25">
      <c r="A129" s="4" t="s">
        <v>605</v>
      </c>
      <c r="B129" s="4" t="s">
        <v>588</v>
      </c>
      <c r="C129" s="4" t="s">
        <v>589</v>
      </c>
      <c r="D129" s="4" t="s">
        <v>606</v>
      </c>
      <c r="E129" s="4" t="s">
        <v>49</v>
      </c>
      <c r="F129" s="4" t="s">
        <v>20</v>
      </c>
      <c r="G129" s="4" t="s">
        <v>607</v>
      </c>
      <c r="H129" s="4" t="s">
        <v>273</v>
      </c>
      <c r="I129" s="4" t="s">
        <v>23</v>
      </c>
      <c r="J129" s="4" t="s">
        <v>608</v>
      </c>
      <c r="K129" s="5" t="s">
        <v>25</v>
      </c>
      <c r="L129" s="4" t="s">
        <v>26</v>
      </c>
      <c r="M129" s="4" t="s">
        <v>27</v>
      </c>
    </row>
    <row r="130" ht="56" customHeight="1" spans="1:13" x14ac:dyDescent="0.25">
      <c r="A130" s="4" t="s">
        <v>609</v>
      </c>
      <c r="B130" s="4" t="s">
        <v>588</v>
      </c>
      <c r="C130" s="4" t="s">
        <v>589</v>
      </c>
      <c r="D130" s="4" t="s">
        <v>610</v>
      </c>
      <c r="E130" s="4" t="s">
        <v>68</v>
      </c>
      <c r="F130" s="4" t="s">
        <v>30</v>
      </c>
      <c r="G130" s="4" t="s">
        <v>611</v>
      </c>
      <c r="H130" s="4" t="s">
        <v>278</v>
      </c>
      <c r="I130" s="4" t="s">
        <v>23</v>
      </c>
      <c r="J130" s="4" t="s">
        <v>612</v>
      </c>
      <c r="K130" s="5" t="s">
        <v>25</v>
      </c>
      <c r="L130" s="4" t="s">
        <v>26</v>
      </c>
      <c r="M130" s="4" t="s">
        <v>27</v>
      </c>
    </row>
    <row r="131" ht="82" customHeight="1" spans="1:13" x14ac:dyDescent="0.25">
      <c r="A131" s="4" t="s">
        <v>613</v>
      </c>
      <c r="B131" s="4" t="s">
        <v>588</v>
      </c>
      <c r="C131" s="4" t="s">
        <v>589</v>
      </c>
      <c r="D131" s="4" t="s">
        <v>614</v>
      </c>
      <c r="E131" s="4" t="s">
        <v>49</v>
      </c>
      <c r="F131" s="4" t="s">
        <v>20</v>
      </c>
      <c r="G131" s="4" t="s">
        <v>282</v>
      </c>
      <c r="H131" s="4" t="s">
        <v>338</v>
      </c>
      <c r="I131" s="4" t="s">
        <v>23</v>
      </c>
      <c r="J131" s="4" t="s">
        <v>615</v>
      </c>
      <c r="K131" s="5" t="s">
        <v>25</v>
      </c>
      <c r="L131" s="4" t="s">
        <v>26</v>
      </c>
      <c r="M131" s="4" t="s">
        <v>27</v>
      </c>
    </row>
    <row r="132" ht="56" customHeight="1" spans="1:13" x14ac:dyDescent="0.25">
      <c r="A132" s="4" t="s">
        <v>616</v>
      </c>
      <c r="B132" s="4" t="s">
        <v>588</v>
      </c>
      <c r="C132" s="4" t="s">
        <v>589</v>
      </c>
      <c r="D132" s="4" t="s">
        <v>617</v>
      </c>
      <c r="E132" s="4" t="s">
        <v>68</v>
      </c>
      <c r="F132" s="4" t="s">
        <v>30</v>
      </c>
      <c r="G132" s="4" t="s">
        <v>287</v>
      </c>
      <c r="H132" s="4" t="s">
        <v>288</v>
      </c>
      <c r="I132" s="4" t="s">
        <v>23</v>
      </c>
      <c r="J132" s="4" t="s">
        <v>618</v>
      </c>
      <c r="K132" s="5" t="s">
        <v>25</v>
      </c>
      <c r="L132" s="4" t="s">
        <v>26</v>
      </c>
      <c r="M132" s="4" t="s">
        <v>27</v>
      </c>
    </row>
    <row r="133" ht="56" customHeight="1" spans="1:13" x14ac:dyDescent="0.25">
      <c r="A133" s="4" t="s">
        <v>619</v>
      </c>
      <c r="B133" s="4" t="s">
        <v>620</v>
      </c>
      <c r="C133" s="4" t="s">
        <v>621</v>
      </c>
      <c r="D133" s="4" t="s">
        <v>622</v>
      </c>
      <c r="E133" s="4" t="s">
        <v>49</v>
      </c>
      <c r="F133" s="4" t="s">
        <v>20</v>
      </c>
      <c r="G133" s="4" t="s">
        <v>314</v>
      </c>
      <c r="H133" s="4" t="s">
        <v>251</v>
      </c>
      <c r="I133" s="4" t="s">
        <v>23</v>
      </c>
      <c r="J133" s="4" t="s">
        <v>623</v>
      </c>
      <c r="K133" s="5" t="s">
        <v>25</v>
      </c>
      <c r="L133" s="4" t="s">
        <v>26</v>
      </c>
      <c r="M133" s="4" t="s">
        <v>27</v>
      </c>
    </row>
    <row r="134" ht="56" customHeight="1" spans="1:13" x14ac:dyDescent="0.25">
      <c r="A134" s="4" t="s">
        <v>624</v>
      </c>
      <c r="B134" s="4" t="s">
        <v>620</v>
      </c>
      <c r="C134" s="4" t="s">
        <v>621</v>
      </c>
      <c r="D134" s="4" t="s">
        <v>317</v>
      </c>
      <c r="E134" s="4" t="s">
        <v>49</v>
      </c>
      <c r="F134" s="4" t="s">
        <v>50</v>
      </c>
      <c r="G134" s="4" t="s">
        <v>318</v>
      </c>
      <c r="H134" s="4" t="s">
        <v>256</v>
      </c>
      <c r="I134" s="4" t="s">
        <v>23</v>
      </c>
      <c r="J134" s="4" t="s">
        <v>625</v>
      </c>
      <c r="K134" s="5" t="s">
        <v>25</v>
      </c>
      <c r="L134" s="4" t="s">
        <v>26</v>
      </c>
      <c r="M134" s="4" t="s">
        <v>27</v>
      </c>
    </row>
    <row r="135" ht="56" customHeight="1" spans="1:13" x14ac:dyDescent="0.25">
      <c r="A135" s="4" t="s">
        <v>626</v>
      </c>
      <c r="B135" s="4" t="s">
        <v>620</v>
      </c>
      <c r="C135" s="4" t="s">
        <v>621</v>
      </c>
      <c r="D135" s="4" t="s">
        <v>321</v>
      </c>
      <c r="E135" s="4" t="s">
        <v>49</v>
      </c>
      <c r="F135" s="4" t="s">
        <v>30</v>
      </c>
      <c r="G135" s="4" t="s">
        <v>322</v>
      </c>
      <c r="H135" s="4" t="s">
        <v>261</v>
      </c>
      <c r="I135" s="4" t="s">
        <v>23</v>
      </c>
      <c r="J135" s="4" t="s">
        <v>627</v>
      </c>
      <c r="K135" s="5" t="s">
        <v>25</v>
      </c>
      <c r="L135" s="4" t="s">
        <v>26</v>
      </c>
      <c r="M135" s="4" t="s">
        <v>27</v>
      </c>
    </row>
    <row r="136" ht="56" customHeight="1" spans="1:13" x14ac:dyDescent="0.25">
      <c r="A136" s="4" t="s">
        <v>628</v>
      </c>
      <c r="B136" s="4" t="s">
        <v>620</v>
      </c>
      <c r="C136" s="4" t="s">
        <v>621</v>
      </c>
      <c r="D136" s="4" t="s">
        <v>325</v>
      </c>
      <c r="E136" s="4" t="s">
        <v>68</v>
      </c>
      <c r="F136" s="4" t="s">
        <v>161</v>
      </c>
      <c r="G136" s="4" t="s">
        <v>326</v>
      </c>
      <c r="H136" s="4" t="s">
        <v>266</v>
      </c>
      <c r="I136" s="4" t="s">
        <v>23</v>
      </c>
      <c r="J136" s="4" t="s">
        <v>629</v>
      </c>
      <c r="K136" s="5" t="s">
        <v>25</v>
      </c>
      <c r="L136" s="4" t="s">
        <v>26</v>
      </c>
      <c r="M136" s="4" t="s">
        <v>27</v>
      </c>
    </row>
    <row r="137" ht="56" customHeight="1" spans="1:13" x14ac:dyDescent="0.25">
      <c r="A137" s="4" t="s">
        <v>630</v>
      </c>
      <c r="B137" s="4" t="s">
        <v>620</v>
      </c>
      <c r="C137" s="4" t="s">
        <v>621</v>
      </c>
      <c r="D137" s="4" t="s">
        <v>631</v>
      </c>
      <c r="E137" s="4" t="s">
        <v>49</v>
      </c>
      <c r="F137" s="4" t="s">
        <v>20</v>
      </c>
      <c r="G137" s="4" t="s">
        <v>330</v>
      </c>
      <c r="H137" s="4" t="s">
        <v>273</v>
      </c>
      <c r="I137" s="4" t="s">
        <v>23</v>
      </c>
      <c r="J137" s="4" t="s">
        <v>632</v>
      </c>
      <c r="K137" s="5" t="s">
        <v>25</v>
      </c>
      <c r="L137" s="4" t="s">
        <v>26</v>
      </c>
      <c r="M137" s="4" t="s">
        <v>27</v>
      </c>
    </row>
    <row r="138" ht="56" customHeight="1" spans="1:13" x14ac:dyDescent="0.25">
      <c r="A138" s="4" t="s">
        <v>633</v>
      </c>
      <c r="B138" s="4" t="s">
        <v>620</v>
      </c>
      <c r="C138" s="4" t="s">
        <v>621</v>
      </c>
      <c r="D138" s="4" t="s">
        <v>634</v>
      </c>
      <c r="E138" s="4" t="s">
        <v>68</v>
      </c>
      <c r="F138" s="4" t="s">
        <v>30</v>
      </c>
      <c r="G138" s="4" t="s">
        <v>334</v>
      </c>
      <c r="H138" s="4" t="s">
        <v>278</v>
      </c>
      <c r="I138" s="4" t="s">
        <v>23</v>
      </c>
      <c r="J138" s="4" t="s">
        <v>635</v>
      </c>
      <c r="K138" s="5" t="s">
        <v>25</v>
      </c>
      <c r="L138" s="4" t="s">
        <v>26</v>
      </c>
      <c r="M138" s="4" t="s">
        <v>27</v>
      </c>
    </row>
    <row r="139" ht="82" customHeight="1" spans="1:13" x14ac:dyDescent="0.25">
      <c r="A139" s="4" t="s">
        <v>636</v>
      </c>
      <c r="B139" s="4" t="s">
        <v>620</v>
      </c>
      <c r="C139" s="4" t="s">
        <v>621</v>
      </c>
      <c r="D139" s="4" t="s">
        <v>637</v>
      </c>
      <c r="E139" s="4" t="s">
        <v>49</v>
      </c>
      <c r="F139" s="4" t="s">
        <v>20</v>
      </c>
      <c r="G139" s="4" t="s">
        <v>282</v>
      </c>
      <c r="H139" s="4" t="s">
        <v>338</v>
      </c>
      <c r="I139" s="4" t="s">
        <v>23</v>
      </c>
      <c r="J139" s="4" t="s">
        <v>638</v>
      </c>
      <c r="K139" s="5" t="s">
        <v>25</v>
      </c>
      <c r="L139" s="4" t="s">
        <v>26</v>
      </c>
      <c r="M139" s="4" t="s">
        <v>27</v>
      </c>
    </row>
    <row r="140" ht="56" customHeight="1" spans="1:13" x14ac:dyDescent="0.25">
      <c r="A140" s="4" t="s">
        <v>639</v>
      </c>
      <c r="B140" s="4" t="s">
        <v>620</v>
      </c>
      <c r="C140" s="4" t="s">
        <v>621</v>
      </c>
      <c r="D140" s="4" t="s">
        <v>640</v>
      </c>
      <c r="E140" s="4" t="s">
        <v>68</v>
      </c>
      <c r="F140" s="4" t="s">
        <v>30</v>
      </c>
      <c r="G140" s="4" t="s">
        <v>287</v>
      </c>
      <c r="H140" s="4" t="s">
        <v>288</v>
      </c>
      <c r="I140" s="4" t="s">
        <v>23</v>
      </c>
      <c r="J140" s="4" t="s">
        <v>641</v>
      </c>
      <c r="K140" s="5" t="s">
        <v>25</v>
      </c>
      <c r="L140" s="4" t="s">
        <v>26</v>
      </c>
      <c r="M140" s="4" t="s">
        <v>27</v>
      </c>
    </row>
    <row r="141" ht="56" customHeight="1" spans="1:13" x14ac:dyDescent="0.25">
      <c r="A141" s="4" t="s">
        <v>642</v>
      </c>
      <c r="B141" s="4" t="s">
        <v>643</v>
      </c>
      <c r="C141" s="4" t="s">
        <v>644</v>
      </c>
      <c r="D141" s="4" t="s">
        <v>645</v>
      </c>
      <c r="E141" s="4" t="s">
        <v>49</v>
      </c>
      <c r="F141" s="4" t="s">
        <v>20</v>
      </c>
      <c r="G141" s="4" t="s">
        <v>314</v>
      </c>
      <c r="H141" s="4" t="s">
        <v>251</v>
      </c>
      <c r="I141" s="4" t="s">
        <v>23</v>
      </c>
      <c r="J141" s="4" t="s">
        <v>646</v>
      </c>
      <c r="K141" s="5" t="s">
        <v>25</v>
      </c>
      <c r="L141" s="4" t="s">
        <v>26</v>
      </c>
      <c r="M141" s="4" t="s">
        <v>27</v>
      </c>
    </row>
    <row r="142" ht="56" customHeight="1" spans="1:13" x14ac:dyDescent="0.25">
      <c r="A142" s="4" t="s">
        <v>647</v>
      </c>
      <c r="B142" s="4" t="s">
        <v>643</v>
      </c>
      <c r="C142" s="4" t="s">
        <v>644</v>
      </c>
      <c r="D142" s="4" t="s">
        <v>317</v>
      </c>
      <c r="E142" s="4" t="s">
        <v>49</v>
      </c>
      <c r="F142" s="4" t="s">
        <v>50</v>
      </c>
      <c r="G142" s="4" t="s">
        <v>318</v>
      </c>
      <c r="H142" s="4" t="s">
        <v>256</v>
      </c>
      <c r="I142" s="4" t="s">
        <v>23</v>
      </c>
      <c r="J142" s="4" t="s">
        <v>648</v>
      </c>
      <c r="K142" s="5" t="s">
        <v>25</v>
      </c>
      <c r="L142" s="4" t="s">
        <v>26</v>
      </c>
      <c r="M142" s="4" t="s">
        <v>27</v>
      </c>
    </row>
    <row r="143" ht="56" customHeight="1" spans="1:13" x14ac:dyDescent="0.25">
      <c r="A143" s="4" t="s">
        <v>649</v>
      </c>
      <c r="B143" s="4" t="s">
        <v>643</v>
      </c>
      <c r="C143" s="4" t="s">
        <v>644</v>
      </c>
      <c r="D143" s="4" t="s">
        <v>321</v>
      </c>
      <c r="E143" s="4" t="s">
        <v>49</v>
      </c>
      <c r="F143" s="4" t="s">
        <v>30</v>
      </c>
      <c r="G143" s="4" t="s">
        <v>322</v>
      </c>
      <c r="H143" s="4" t="s">
        <v>261</v>
      </c>
      <c r="I143" s="4" t="s">
        <v>23</v>
      </c>
      <c r="J143" s="4" t="s">
        <v>650</v>
      </c>
      <c r="K143" s="5" t="s">
        <v>25</v>
      </c>
      <c r="L143" s="4" t="s">
        <v>26</v>
      </c>
      <c r="M143" s="4" t="s">
        <v>27</v>
      </c>
    </row>
    <row r="144" ht="56" customHeight="1" spans="1:13" x14ac:dyDescent="0.25">
      <c r="A144" s="4" t="s">
        <v>651</v>
      </c>
      <c r="B144" s="4" t="s">
        <v>643</v>
      </c>
      <c r="C144" s="4" t="s">
        <v>644</v>
      </c>
      <c r="D144" s="4" t="s">
        <v>325</v>
      </c>
      <c r="E144" s="4" t="s">
        <v>68</v>
      </c>
      <c r="F144" s="4" t="s">
        <v>161</v>
      </c>
      <c r="G144" s="4" t="s">
        <v>326</v>
      </c>
      <c r="H144" s="4" t="s">
        <v>266</v>
      </c>
      <c r="I144" s="4" t="s">
        <v>23</v>
      </c>
      <c r="J144" s="4" t="s">
        <v>652</v>
      </c>
      <c r="K144" s="5" t="s">
        <v>25</v>
      </c>
      <c r="L144" s="4" t="s">
        <v>26</v>
      </c>
      <c r="M144" s="4" t="s">
        <v>27</v>
      </c>
    </row>
    <row r="145" ht="56" customHeight="1" spans="1:13" x14ac:dyDescent="0.25">
      <c r="A145" s="4" t="s">
        <v>653</v>
      </c>
      <c r="B145" s="4" t="s">
        <v>643</v>
      </c>
      <c r="C145" s="4" t="s">
        <v>644</v>
      </c>
      <c r="D145" s="4" t="s">
        <v>654</v>
      </c>
      <c r="E145" s="4" t="s">
        <v>49</v>
      </c>
      <c r="F145" s="4" t="s">
        <v>20</v>
      </c>
      <c r="G145" s="4" t="s">
        <v>330</v>
      </c>
      <c r="H145" s="4" t="s">
        <v>273</v>
      </c>
      <c r="I145" s="4" t="s">
        <v>23</v>
      </c>
      <c r="J145" s="4" t="s">
        <v>655</v>
      </c>
      <c r="K145" s="5" t="s">
        <v>25</v>
      </c>
      <c r="L145" s="4" t="s">
        <v>26</v>
      </c>
      <c r="M145" s="4" t="s">
        <v>27</v>
      </c>
    </row>
    <row r="146" ht="56" customHeight="1" spans="1:13" x14ac:dyDescent="0.25">
      <c r="A146" s="4" t="s">
        <v>656</v>
      </c>
      <c r="B146" s="4" t="s">
        <v>643</v>
      </c>
      <c r="C146" s="4" t="s">
        <v>644</v>
      </c>
      <c r="D146" s="4" t="s">
        <v>657</v>
      </c>
      <c r="E146" s="4" t="s">
        <v>68</v>
      </c>
      <c r="F146" s="4" t="s">
        <v>30</v>
      </c>
      <c r="G146" s="4" t="s">
        <v>334</v>
      </c>
      <c r="H146" s="4" t="s">
        <v>278</v>
      </c>
      <c r="I146" s="4" t="s">
        <v>23</v>
      </c>
      <c r="J146" s="4" t="s">
        <v>635</v>
      </c>
      <c r="K146" s="5" t="s">
        <v>25</v>
      </c>
      <c r="L146" s="4" t="s">
        <v>26</v>
      </c>
      <c r="M146" s="4" t="s">
        <v>27</v>
      </c>
    </row>
    <row r="147" ht="82" customHeight="1" spans="1:13" x14ac:dyDescent="0.25">
      <c r="A147" s="4" t="s">
        <v>658</v>
      </c>
      <c r="B147" s="4" t="s">
        <v>643</v>
      </c>
      <c r="C147" s="4" t="s">
        <v>644</v>
      </c>
      <c r="D147" s="4" t="s">
        <v>659</v>
      </c>
      <c r="E147" s="4" t="s">
        <v>49</v>
      </c>
      <c r="F147" s="4" t="s">
        <v>20</v>
      </c>
      <c r="G147" s="4" t="s">
        <v>282</v>
      </c>
      <c r="H147" s="4" t="s">
        <v>338</v>
      </c>
      <c r="I147" s="4" t="s">
        <v>23</v>
      </c>
      <c r="J147" s="4" t="s">
        <v>638</v>
      </c>
      <c r="K147" s="5" t="s">
        <v>25</v>
      </c>
      <c r="L147" s="4" t="s">
        <v>26</v>
      </c>
      <c r="M147" s="4" t="s">
        <v>27</v>
      </c>
    </row>
    <row r="148" ht="56" customHeight="1" spans="1:13" x14ac:dyDescent="0.25">
      <c r="A148" s="4" t="s">
        <v>660</v>
      </c>
      <c r="B148" s="4" t="s">
        <v>643</v>
      </c>
      <c r="C148" s="4" t="s">
        <v>644</v>
      </c>
      <c r="D148" s="4" t="s">
        <v>661</v>
      </c>
      <c r="E148" s="4" t="s">
        <v>68</v>
      </c>
      <c r="F148" s="4" t="s">
        <v>30</v>
      </c>
      <c r="G148" s="4" t="s">
        <v>287</v>
      </c>
      <c r="H148" s="4" t="s">
        <v>288</v>
      </c>
      <c r="I148" s="4" t="s">
        <v>23</v>
      </c>
      <c r="J148" s="4" t="s">
        <v>662</v>
      </c>
      <c r="K148" s="5" t="s">
        <v>25</v>
      </c>
      <c r="L148" s="4" t="s">
        <v>26</v>
      </c>
      <c r="M148" s="4" t="s">
        <v>27</v>
      </c>
    </row>
    <row r="149" ht="56" customHeight="1" spans="1:13" x14ac:dyDescent="0.25">
      <c r="A149" s="4" t="s">
        <v>663</v>
      </c>
      <c r="B149" s="4" t="s">
        <v>664</v>
      </c>
      <c r="C149" s="4" t="s">
        <v>665</v>
      </c>
      <c r="D149" s="4" t="s">
        <v>666</v>
      </c>
      <c r="E149" s="4" t="s">
        <v>49</v>
      </c>
      <c r="F149" s="4" t="s">
        <v>20</v>
      </c>
      <c r="G149" s="4" t="s">
        <v>314</v>
      </c>
      <c r="H149" s="4" t="s">
        <v>251</v>
      </c>
      <c r="I149" s="4" t="s">
        <v>23</v>
      </c>
      <c r="J149" s="4" t="s">
        <v>667</v>
      </c>
      <c r="K149" s="5" t="s">
        <v>25</v>
      </c>
      <c r="L149" s="4" t="s">
        <v>26</v>
      </c>
      <c r="M149" s="4" t="s">
        <v>27</v>
      </c>
    </row>
    <row r="150" ht="56" customHeight="1" spans="1:13" x14ac:dyDescent="0.25">
      <c r="A150" s="4" t="s">
        <v>668</v>
      </c>
      <c r="B150" s="4" t="s">
        <v>664</v>
      </c>
      <c r="C150" s="4" t="s">
        <v>665</v>
      </c>
      <c r="D150" s="4" t="s">
        <v>317</v>
      </c>
      <c r="E150" s="4" t="s">
        <v>49</v>
      </c>
      <c r="F150" s="4" t="s">
        <v>50</v>
      </c>
      <c r="G150" s="4" t="s">
        <v>318</v>
      </c>
      <c r="H150" s="4" t="s">
        <v>256</v>
      </c>
      <c r="I150" s="4" t="s">
        <v>23</v>
      </c>
      <c r="J150" s="4" t="s">
        <v>648</v>
      </c>
      <c r="K150" s="5" t="s">
        <v>25</v>
      </c>
      <c r="L150" s="4" t="s">
        <v>26</v>
      </c>
      <c r="M150" s="4" t="s">
        <v>27</v>
      </c>
    </row>
    <row r="151" ht="56" customHeight="1" spans="1:13" x14ac:dyDescent="0.25">
      <c r="A151" s="4" t="s">
        <v>669</v>
      </c>
      <c r="B151" s="4" t="s">
        <v>664</v>
      </c>
      <c r="C151" s="4" t="s">
        <v>665</v>
      </c>
      <c r="D151" s="4" t="s">
        <v>321</v>
      </c>
      <c r="E151" s="4" t="s">
        <v>49</v>
      </c>
      <c r="F151" s="4" t="s">
        <v>30</v>
      </c>
      <c r="G151" s="4" t="s">
        <v>322</v>
      </c>
      <c r="H151" s="4" t="s">
        <v>261</v>
      </c>
      <c r="I151" s="4" t="s">
        <v>23</v>
      </c>
      <c r="J151" s="4" t="s">
        <v>670</v>
      </c>
      <c r="K151" s="5" t="s">
        <v>25</v>
      </c>
      <c r="L151" s="4" t="s">
        <v>26</v>
      </c>
      <c r="M151" s="4" t="s">
        <v>27</v>
      </c>
    </row>
    <row r="152" ht="160" customHeight="1" spans="1:13" x14ac:dyDescent="0.25">
      <c r="A152" s="4" t="s">
        <v>671</v>
      </c>
      <c r="B152" s="4" t="s">
        <v>664</v>
      </c>
      <c r="C152" s="4" t="s">
        <v>665</v>
      </c>
      <c r="D152" s="4" t="s">
        <v>325</v>
      </c>
      <c r="E152" s="4" t="s">
        <v>68</v>
      </c>
      <c r="F152" s="4" t="s">
        <v>161</v>
      </c>
      <c r="G152" s="4" t="s">
        <v>326</v>
      </c>
      <c r="H152" s="4" t="s">
        <v>266</v>
      </c>
      <c r="I152" s="4" t="s">
        <v>23</v>
      </c>
      <c r="J152" s="4" t="s">
        <v>672</v>
      </c>
      <c r="K152" s="5" t="s">
        <v>25</v>
      </c>
      <c r="L152" s="4" t="s">
        <v>26</v>
      </c>
      <c r="M152" s="4" t="s">
        <v>27</v>
      </c>
    </row>
    <row r="153" ht="56" customHeight="1" spans="1:13" x14ac:dyDescent="0.25">
      <c r="A153" s="4" t="s">
        <v>673</v>
      </c>
      <c r="B153" s="4" t="s">
        <v>664</v>
      </c>
      <c r="C153" s="4" t="s">
        <v>665</v>
      </c>
      <c r="D153" s="4" t="s">
        <v>674</v>
      </c>
      <c r="E153" s="4" t="s">
        <v>49</v>
      </c>
      <c r="F153" s="4" t="s">
        <v>20</v>
      </c>
      <c r="G153" s="4" t="s">
        <v>330</v>
      </c>
      <c r="H153" s="4" t="s">
        <v>273</v>
      </c>
      <c r="I153" s="4" t="s">
        <v>23</v>
      </c>
      <c r="J153" s="4" t="s">
        <v>675</v>
      </c>
      <c r="K153" s="5" t="s">
        <v>25</v>
      </c>
      <c r="L153" s="4" t="s">
        <v>26</v>
      </c>
      <c r="M153" s="4" t="s">
        <v>27</v>
      </c>
    </row>
    <row r="154" ht="56" customHeight="1" spans="1:13" x14ac:dyDescent="0.25">
      <c r="A154" s="4" t="s">
        <v>676</v>
      </c>
      <c r="B154" s="4" t="s">
        <v>664</v>
      </c>
      <c r="C154" s="4" t="s">
        <v>665</v>
      </c>
      <c r="D154" s="4" t="s">
        <v>677</v>
      </c>
      <c r="E154" s="4" t="s">
        <v>68</v>
      </c>
      <c r="F154" s="4" t="s">
        <v>30</v>
      </c>
      <c r="G154" s="4" t="s">
        <v>334</v>
      </c>
      <c r="H154" s="4" t="s">
        <v>278</v>
      </c>
      <c r="I154" s="4" t="s">
        <v>23</v>
      </c>
      <c r="J154" s="4" t="s">
        <v>678</v>
      </c>
      <c r="K154" s="5" t="s">
        <v>25</v>
      </c>
      <c r="L154" s="4" t="s">
        <v>26</v>
      </c>
      <c r="M154" s="4" t="s">
        <v>27</v>
      </c>
    </row>
    <row r="155" ht="82" customHeight="1" spans="1:13" x14ac:dyDescent="0.25">
      <c r="A155" s="4" t="s">
        <v>679</v>
      </c>
      <c r="B155" s="4" t="s">
        <v>664</v>
      </c>
      <c r="C155" s="4" t="s">
        <v>665</v>
      </c>
      <c r="D155" s="4" t="s">
        <v>680</v>
      </c>
      <c r="E155" s="4" t="s">
        <v>49</v>
      </c>
      <c r="F155" s="4" t="s">
        <v>20</v>
      </c>
      <c r="G155" s="4" t="s">
        <v>282</v>
      </c>
      <c r="H155" s="4" t="s">
        <v>338</v>
      </c>
      <c r="I155" s="4" t="s">
        <v>23</v>
      </c>
      <c r="J155" s="4" t="s">
        <v>681</v>
      </c>
      <c r="K155" s="5" t="s">
        <v>25</v>
      </c>
      <c r="L155" s="4" t="s">
        <v>26</v>
      </c>
      <c r="M155" s="4" t="s">
        <v>27</v>
      </c>
    </row>
    <row r="156" ht="56" customHeight="1" spans="1:13" x14ac:dyDescent="0.25">
      <c r="A156" s="4" t="s">
        <v>682</v>
      </c>
      <c r="B156" s="4" t="s">
        <v>664</v>
      </c>
      <c r="C156" s="4" t="s">
        <v>665</v>
      </c>
      <c r="D156" s="4" t="s">
        <v>683</v>
      </c>
      <c r="E156" s="4" t="s">
        <v>68</v>
      </c>
      <c r="F156" s="4" t="s">
        <v>30</v>
      </c>
      <c r="G156" s="4" t="s">
        <v>287</v>
      </c>
      <c r="H156" s="4" t="s">
        <v>288</v>
      </c>
      <c r="I156" s="4" t="s">
        <v>23</v>
      </c>
      <c r="J156" s="4" t="s">
        <v>684</v>
      </c>
      <c r="K156" s="5" t="s">
        <v>25</v>
      </c>
      <c r="L156" s="4" t="s">
        <v>26</v>
      </c>
      <c r="M156" s="4" t="s">
        <v>27</v>
      </c>
    </row>
    <row r="157" ht="108" customHeight="1" spans="1:13" x14ac:dyDescent="0.25">
      <c r="A157" s="4" t="s">
        <v>685</v>
      </c>
      <c r="B157" s="4" t="s">
        <v>664</v>
      </c>
      <c r="C157" s="4" t="s">
        <v>665</v>
      </c>
      <c r="D157" s="4" t="s">
        <v>686</v>
      </c>
      <c r="E157" s="4" t="s">
        <v>68</v>
      </c>
      <c r="F157" s="4" t="s">
        <v>20</v>
      </c>
      <c r="G157" s="4" t="s">
        <v>687</v>
      </c>
      <c r="H157" s="4" t="s">
        <v>688</v>
      </c>
      <c r="I157" s="4" t="s">
        <v>23</v>
      </c>
      <c r="J157" s="4" t="s">
        <v>689</v>
      </c>
      <c r="K157" s="5" t="s">
        <v>25</v>
      </c>
      <c r="L157" s="4" t="s">
        <v>26</v>
      </c>
      <c r="M157" s="4" t="s">
        <v>27</v>
      </c>
    </row>
    <row r="158" ht="69" customHeight="1" spans="1:13" x14ac:dyDescent="0.25">
      <c r="A158" s="4" t="s">
        <v>690</v>
      </c>
      <c r="B158" s="4" t="s">
        <v>691</v>
      </c>
      <c r="C158" s="4" t="s">
        <v>692</v>
      </c>
      <c r="D158" s="4" t="s">
        <v>693</v>
      </c>
      <c r="E158" s="4" t="s">
        <v>49</v>
      </c>
      <c r="F158" s="4" t="s">
        <v>20</v>
      </c>
      <c r="G158" s="4" t="s">
        <v>314</v>
      </c>
      <c r="H158" s="4" t="s">
        <v>251</v>
      </c>
      <c r="I158" s="4" t="s">
        <v>23</v>
      </c>
      <c r="J158" s="4" t="s">
        <v>694</v>
      </c>
      <c r="K158" s="5" t="s">
        <v>25</v>
      </c>
      <c r="L158" s="4" t="s">
        <v>26</v>
      </c>
      <c r="M158" s="4" t="s">
        <v>27</v>
      </c>
    </row>
    <row r="159" ht="56" customHeight="1" spans="1:13" x14ac:dyDescent="0.25">
      <c r="A159" s="4" t="s">
        <v>695</v>
      </c>
      <c r="B159" s="4" t="s">
        <v>691</v>
      </c>
      <c r="C159" s="4" t="s">
        <v>692</v>
      </c>
      <c r="D159" s="4" t="s">
        <v>317</v>
      </c>
      <c r="E159" s="4" t="s">
        <v>49</v>
      </c>
      <c r="F159" s="4" t="s">
        <v>50</v>
      </c>
      <c r="G159" s="4" t="s">
        <v>318</v>
      </c>
      <c r="H159" s="4" t="s">
        <v>256</v>
      </c>
      <c r="I159" s="4" t="s">
        <v>23</v>
      </c>
      <c r="J159" s="4" t="s">
        <v>696</v>
      </c>
      <c r="K159" s="5" t="s">
        <v>25</v>
      </c>
      <c r="L159" s="4" t="s">
        <v>26</v>
      </c>
      <c r="M159" s="4" t="s">
        <v>27</v>
      </c>
    </row>
    <row r="160" ht="56" customHeight="1" spans="1:13" x14ac:dyDescent="0.25">
      <c r="A160" s="4" t="s">
        <v>697</v>
      </c>
      <c r="B160" s="4" t="s">
        <v>691</v>
      </c>
      <c r="C160" s="4" t="s">
        <v>692</v>
      </c>
      <c r="D160" s="4" t="s">
        <v>321</v>
      </c>
      <c r="E160" s="4" t="s">
        <v>49</v>
      </c>
      <c r="F160" s="4" t="s">
        <v>30</v>
      </c>
      <c r="G160" s="4" t="s">
        <v>322</v>
      </c>
      <c r="H160" s="4" t="s">
        <v>698</v>
      </c>
      <c r="I160" s="4" t="s">
        <v>23</v>
      </c>
      <c r="J160" s="4" t="s">
        <v>699</v>
      </c>
      <c r="K160" s="5" t="s">
        <v>25</v>
      </c>
      <c r="L160" s="4" t="s">
        <v>26</v>
      </c>
      <c r="M160" s="4" t="s">
        <v>27</v>
      </c>
    </row>
    <row r="161" ht="134" customHeight="1" spans="1:13" x14ac:dyDescent="0.25">
      <c r="A161" s="4" t="s">
        <v>700</v>
      </c>
      <c r="B161" s="4" t="s">
        <v>691</v>
      </c>
      <c r="C161" s="4" t="s">
        <v>692</v>
      </c>
      <c r="D161" s="4" t="s">
        <v>325</v>
      </c>
      <c r="E161" s="4" t="s">
        <v>68</v>
      </c>
      <c r="F161" s="4" t="s">
        <v>161</v>
      </c>
      <c r="G161" s="4" t="s">
        <v>326</v>
      </c>
      <c r="H161" s="4" t="s">
        <v>266</v>
      </c>
      <c r="I161" s="4" t="s">
        <v>23</v>
      </c>
      <c r="J161" s="4" t="s">
        <v>701</v>
      </c>
      <c r="K161" s="5" t="s">
        <v>25</v>
      </c>
      <c r="L161" s="4" t="s">
        <v>26</v>
      </c>
      <c r="M161" s="4" t="s">
        <v>27</v>
      </c>
    </row>
    <row r="162" ht="82" customHeight="1" spans="1:13" x14ac:dyDescent="0.25">
      <c r="A162" s="4" t="s">
        <v>702</v>
      </c>
      <c r="B162" s="4" t="s">
        <v>691</v>
      </c>
      <c r="C162" s="4" t="s">
        <v>692</v>
      </c>
      <c r="D162" s="4" t="s">
        <v>703</v>
      </c>
      <c r="E162" s="4" t="s">
        <v>49</v>
      </c>
      <c r="F162" s="4" t="s">
        <v>20</v>
      </c>
      <c r="G162" s="4" t="s">
        <v>330</v>
      </c>
      <c r="H162" s="4" t="s">
        <v>273</v>
      </c>
      <c r="I162" s="4" t="s">
        <v>23</v>
      </c>
      <c r="J162" s="4" t="s">
        <v>704</v>
      </c>
      <c r="K162" s="5" t="s">
        <v>25</v>
      </c>
      <c r="L162" s="4" t="s">
        <v>26</v>
      </c>
      <c r="M162" s="4" t="s">
        <v>27</v>
      </c>
    </row>
    <row r="163" ht="56" customHeight="1" spans="1:13" x14ac:dyDescent="0.25">
      <c r="A163" s="4" t="s">
        <v>705</v>
      </c>
      <c r="B163" s="4" t="s">
        <v>691</v>
      </c>
      <c r="C163" s="4" t="s">
        <v>692</v>
      </c>
      <c r="D163" s="4" t="s">
        <v>706</v>
      </c>
      <c r="E163" s="4" t="s">
        <v>68</v>
      </c>
      <c r="F163" s="4" t="s">
        <v>30</v>
      </c>
      <c r="G163" s="4" t="s">
        <v>334</v>
      </c>
      <c r="H163" s="4" t="s">
        <v>278</v>
      </c>
      <c r="I163" s="4" t="s">
        <v>23</v>
      </c>
      <c r="J163" s="4" t="s">
        <v>707</v>
      </c>
      <c r="K163" s="5" t="s">
        <v>25</v>
      </c>
      <c r="L163" s="4" t="s">
        <v>26</v>
      </c>
      <c r="M163" s="4" t="s">
        <v>27</v>
      </c>
    </row>
    <row r="164" ht="121" customHeight="1" spans="1:13" x14ac:dyDescent="0.25">
      <c r="A164" s="4" t="s">
        <v>708</v>
      </c>
      <c r="B164" s="4" t="s">
        <v>691</v>
      </c>
      <c r="C164" s="4" t="s">
        <v>692</v>
      </c>
      <c r="D164" s="4" t="s">
        <v>709</v>
      </c>
      <c r="E164" s="4" t="s">
        <v>49</v>
      </c>
      <c r="F164" s="4" t="s">
        <v>20</v>
      </c>
      <c r="G164" s="4" t="s">
        <v>282</v>
      </c>
      <c r="H164" s="4" t="s">
        <v>338</v>
      </c>
      <c r="I164" s="4" t="s">
        <v>23</v>
      </c>
      <c r="J164" s="4" t="s">
        <v>710</v>
      </c>
      <c r="K164" s="5" t="s">
        <v>25</v>
      </c>
      <c r="L164" s="4" t="s">
        <v>26</v>
      </c>
      <c r="M164" s="4" t="s">
        <v>27</v>
      </c>
    </row>
    <row r="165" ht="69" customHeight="1" spans="1:13" x14ac:dyDescent="0.25">
      <c r="A165" s="4" t="s">
        <v>711</v>
      </c>
      <c r="B165" s="4" t="s">
        <v>691</v>
      </c>
      <c r="C165" s="4" t="s">
        <v>692</v>
      </c>
      <c r="D165" s="4" t="s">
        <v>712</v>
      </c>
      <c r="E165" s="4" t="s">
        <v>68</v>
      </c>
      <c r="F165" s="4" t="s">
        <v>30</v>
      </c>
      <c r="G165" s="4" t="s">
        <v>287</v>
      </c>
      <c r="H165" s="4" t="s">
        <v>288</v>
      </c>
      <c r="I165" s="4" t="s">
        <v>23</v>
      </c>
      <c r="J165" s="4" t="s">
        <v>713</v>
      </c>
      <c r="K165" s="5" t="s">
        <v>25</v>
      </c>
      <c r="L165" s="4" t="s">
        <v>26</v>
      </c>
      <c r="M165" s="4" t="s">
        <v>27</v>
      </c>
    </row>
    <row r="166" ht="160" customHeight="1" spans="1:13" x14ac:dyDescent="0.25">
      <c r="A166" s="4" t="s">
        <v>714</v>
      </c>
      <c r="B166" s="4" t="s">
        <v>691</v>
      </c>
      <c r="C166" s="4" t="s">
        <v>692</v>
      </c>
      <c r="D166" s="4" t="s">
        <v>715</v>
      </c>
      <c r="E166" s="4" t="s">
        <v>19</v>
      </c>
      <c r="F166" s="4" t="s">
        <v>172</v>
      </c>
      <c r="G166" s="4" t="s">
        <v>716</v>
      </c>
      <c r="H166" s="4" t="s">
        <v>717</v>
      </c>
      <c r="I166" s="6" t="s">
        <v>718</v>
      </c>
      <c r="J166" s="4" t="s">
        <v>719</v>
      </c>
      <c r="K166" s="5" t="s">
        <v>25</v>
      </c>
      <c r="L166" s="4" t="s">
        <v>720</v>
      </c>
      <c r="M166" s="4" t="s">
        <v>721</v>
      </c>
    </row>
    <row r="167" ht="160" customHeight="1" spans="1:13" x14ac:dyDescent="0.25">
      <c r="A167" s="4" t="s">
        <v>722</v>
      </c>
      <c r="B167" s="4" t="s">
        <v>723</v>
      </c>
      <c r="C167" s="4" t="s">
        <v>692</v>
      </c>
      <c r="D167" s="4" t="s">
        <v>724</v>
      </c>
      <c r="E167" s="4" t="s">
        <v>68</v>
      </c>
      <c r="F167" s="4" t="s">
        <v>20</v>
      </c>
      <c r="G167" s="4" t="s">
        <v>725</v>
      </c>
      <c r="H167" s="4" t="s">
        <v>726</v>
      </c>
      <c r="I167" s="4" t="s">
        <v>23</v>
      </c>
      <c r="J167" s="4" t="s">
        <v>727</v>
      </c>
      <c r="K167" s="5" t="s">
        <v>25</v>
      </c>
      <c r="L167" s="4" t="s">
        <v>26</v>
      </c>
      <c r="M167" s="4" t="s">
        <v>27</v>
      </c>
    </row>
    <row r="168" ht="147" customHeight="1" spans="1:13" x14ac:dyDescent="0.25">
      <c r="A168" s="4" t="s">
        <v>728</v>
      </c>
      <c r="B168" s="4" t="s">
        <v>729</v>
      </c>
      <c r="C168" s="4" t="s">
        <v>730</v>
      </c>
      <c r="D168" s="4" t="s">
        <v>731</v>
      </c>
      <c r="E168" s="4" t="s">
        <v>49</v>
      </c>
      <c r="F168" s="4" t="s">
        <v>30</v>
      </c>
      <c r="G168" s="4" t="s">
        <v>732</v>
      </c>
      <c r="H168" s="4" t="s">
        <v>733</v>
      </c>
      <c r="I168" s="6" t="s">
        <v>734</v>
      </c>
      <c r="J168" s="4" t="s">
        <v>735</v>
      </c>
      <c r="K168" s="5" t="s">
        <v>25</v>
      </c>
      <c r="L168" s="4" t="s">
        <v>736</v>
      </c>
      <c r="M168" s="4" t="s">
        <v>737</v>
      </c>
    </row>
    <row r="169" ht="160" customHeight="1" spans="1:13" x14ac:dyDescent="0.25">
      <c r="A169" s="4" t="s">
        <v>738</v>
      </c>
      <c r="B169" s="4" t="s">
        <v>729</v>
      </c>
      <c r="C169" s="4" t="s">
        <v>730</v>
      </c>
      <c r="D169" s="4" t="s">
        <v>739</v>
      </c>
      <c r="E169" s="4" t="s">
        <v>49</v>
      </c>
      <c r="F169" s="4" t="s">
        <v>161</v>
      </c>
      <c r="G169" s="4" t="s">
        <v>740</v>
      </c>
      <c r="H169" s="4" t="s">
        <v>741</v>
      </c>
      <c r="I169" s="4" t="s">
        <v>23</v>
      </c>
      <c r="J169" s="4" t="s">
        <v>742</v>
      </c>
      <c r="K169" s="5" t="s">
        <v>25</v>
      </c>
      <c r="L169" s="4" t="s">
        <v>26</v>
      </c>
      <c r="M169" s="4" t="s">
        <v>27</v>
      </c>
    </row>
    <row r="170" ht="134" customHeight="1" spans="1:13" x14ac:dyDescent="0.25">
      <c r="A170" s="4" t="s">
        <v>743</v>
      </c>
      <c r="B170" s="4" t="s">
        <v>729</v>
      </c>
      <c r="C170" s="4" t="s">
        <v>730</v>
      </c>
      <c r="D170" s="4" t="s">
        <v>744</v>
      </c>
      <c r="E170" s="4" t="s">
        <v>68</v>
      </c>
      <c r="F170" s="4" t="s">
        <v>20</v>
      </c>
      <c r="G170" s="4" t="s">
        <v>745</v>
      </c>
      <c r="H170" s="4" t="s">
        <v>293</v>
      </c>
      <c r="I170" s="4" t="s">
        <v>23</v>
      </c>
      <c r="J170" s="4" t="s">
        <v>746</v>
      </c>
      <c r="K170" s="5" t="s">
        <v>25</v>
      </c>
      <c r="L170" s="4" t="s">
        <v>26</v>
      </c>
      <c r="M170" s="4" t="s">
        <v>27</v>
      </c>
    </row>
    <row r="171" ht="160" customHeight="1" spans="1:13" x14ac:dyDescent="0.25">
      <c r="A171" s="4" t="s">
        <v>747</v>
      </c>
      <c r="B171" s="4" t="s">
        <v>748</v>
      </c>
      <c r="C171" s="4" t="s">
        <v>730</v>
      </c>
      <c r="D171" s="4" t="s">
        <v>749</v>
      </c>
      <c r="E171" s="4" t="s">
        <v>301</v>
      </c>
      <c r="F171" s="4" t="s">
        <v>214</v>
      </c>
      <c r="G171" s="4" t="s">
        <v>750</v>
      </c>
      <c r="H171" s="4" t="s">
        <v>751</v>
      </c>
      <c r="I171" s="4" t="s">
        <v>23</v>
      </c>
      <c r="J171" s="4" t="s">
        <v>752</v>
      </c>
      <c r="K171" s="5" t="s">
        <v>25</v>
      </c>
      <c r="L171" s="4" t="s">
        <v>26</v>
      </c>
      <c r="M171" s="4" t="s">
        <v>753</v>
      </c>
    </row>
    <row r="172" ht="69" customHeight="1" spans="1:13" x14ac:dyDescent="0.25">
      <c r="A172" s="4" t="s">
        <v>754</v>
      </c>
      <c r="B172" s="4" t="s">
        <v>729</v>
      </c>
      <c r="C172" s="4" t="s">
        <v>730</v>
      </c>
      <c r="D172" s="4" t="s">
        <v>755</v>
      </c>
      <c r="E172" s="4" t="s">
        <v>301</v>
      </c>
      <c r="F172" s="4" t="s">
        <v>214</v>
      </c>
      <c r="G172" s="4" t="s">
        <v>756</v>
      </c>
      <c r="H172" s="4" t="s">
        <v>757</v>
      </c>
      <c r="I172" s="4" t="s">
        <v>23</v>
      </c>
      <c r="J172" s="4" t="s">
        <v>758</v>
      </c>
      <c r="K172" s="5" t="s">
        <v>25</v>
      </c>
      <c r="L172" s="4" t="s">
        <v>26</v>
      </c>
      <c r="M172" s="4" t="s">
        <v>27</v>
      </c>
    </row>
    <row r="173" ht="160" customHeight="1" spans="1:13" x14ac:dyDescent="0.25">
      <c r="A173" s="4" t="s">
        <v>759</v>
      </c>
      <c r="B173" s="4" t="s">
        <v>760</v>
      </c>
      <c r="C173" s="4" t="s">
        <v>761</v>
      </c>
      <c r="D173" s="4" t="s">
        <v>762</v>
      </c>
      <c r="E173" s="4" t="s">
        <v>49</v>
      </c>
      <c r="F173" s="4" t="s">
        <v>20</v>
      </c>
      <c r="G173" s="4" t="s">
        <v>763</v>
      </c>
      <c r="H173" s="4" t="s">
        <v>764</v>
      </c>
      <c r="I173" s="4" t="s">
        <v>23</v>
      </c>
      <c r="J173" s="4" t="s">
        <v>765</v>
      </c>
      <c r="K173" s="5" t="s">
        <v>25</v>
      </c>
      <c r="L173" s="4" t="s">
        <v>766</v>
      </c>
      <c r="M173" s="4" t="s">
        <v>767</v>
      </c>
    </row>
    <row r="174" ht="69" customHeight="1" spans="1:13" x14ac:dyDescent="0.25">
      <c r="A174" s="4" t="s">
        <v>768</v>
      </c>
      <c r="B174" s="4" t="s">
        <v>760</v>
      </c>
      <c r="C174" s="4" t="s">
        <v>761</v>
      </c>
      <c r="D174" s="4" t="s">
        <v>769</v>
      </c>
      <c r="E174" s="4" t="s">
        <v>68</v>
      </c>
      <c r="F174" s="4" t="s">
        <v>20</v>
      </c>
      <c r="G174" s="4" t="s">
        <v>770</v>
      </c>
      <c r="H174" s="4" t="s">
        <v>771</v>
      </c>
      <c r="I174" s="4" t="s">
        <v>23</v>
      </c>
      <c r="J174" s="4" t="s">
        <v>772</v>
      </c>
      <c r="K174" s="5" t="s">
        <v>25</v>
      </c>
      <c r="L174" s="4" t="s">
        <v>26</v>
      </c>
      <c r="M174" s="4" t="s">
        <v>27</v>
      </c>
    </row>
    <row r="175" ht="134" customHeight="1" spans="1:13" x14ac:dyDescent="0.25">
      <c r="A175" s="4" t="s">
        <v>773</v>
      </c>
      <c r="B175" s="4" t="s">
        <v>760</v>
      </c>
      <c r="C175" s="4" t="s">
        <v>761</v>
      </c>
      <c r="D175" s="4" t="s">
        <v>774</v>
      </c>
      <c r="E175" s="4" t="s">
        <v>49</v>
      </c>
      <c r="F175" s="4" t="s">
        <v>50</v>
      </c>
      <c r="G175" s="4" t="s">
        <v>775</v>
      </c>
      <c r="H175" s="4" t="s">
        <v>776</v>
      </c>
      <c r="I175" s="4" t="s">
        <v>23</v>
      </c>
      <c r="J175" s="4" t="s">
        <v>777</v>
      </c>
      <c r="K175" s="8" t="s">
        <v>778</v>
      </c>
      <c r="L175" s="4" t="s">
        <v>26</v>
      </c>
      <c r="M175" s="4" t="s">
        <v>779</v>
      </c>
    </row>
    <row r="176" ht="95" customHeight="1" spans="1:13" x14ac:dyDescent="0.25">
      <c r="A176" s="4" t="s">
        <v>780</v>
      </c>
      <c r="B176" s="4" t="s">
        <v>760</v>
      </c>
      <c r="C176" s="4" t="s">
        <v>761</v>
      </c>
      <c r="D176" s="4" t="s">
        <v>781</v>
      </c>
      <c r="E176" s="4" t="s">
        <v>68</v>
      </c>
      <c r="F176" s="4" t="s">
        <v>30</v>
      </c>
      <c r="G176" s="4" t="s">
        <v>782</v>
      </c>
      <c r="H176" s="4" t="s">
        <v>783</v>
      </c>
      <c r="I176" s="4" t="s">
        <v>23</v>
      </c>
      <c r="J176" s="4" t="s">
        <v>784</v>
      </c>
      <c r="K176" s="8" t="s">
        <v>778</v>
      </c>
      <c r="L176" s="4" t="s">
        <v>26</v>
      </c>
      <c r="M176" s="4" t="s">
        <v>779</v>
      </c>
    </row>
    <row r="177" ht="121" customHeight="1" spans="1:13" x14ac:dyDescent="0.25">
      <c r="A177" s="4" t="s">
        <v>785</v>
      </c>
      <c r="B177" s="4" t="s">
        <v>786</v>
      </c>
      <c r="C177" s="4" t="s">
        <v>787</v>
      </c>
      <c r="D177" s="4" t="s">
        <v>788</v>
      </c>
      <c r="E177" s="4" t="s">
        <v>301</v>
      </c>
      <c r="F177" s="4" t="s">
        <v>20</v>
      </c>
      <c r="G177" s="4" t="s">
        <v>789</v>
      </c>
      <c r="H177" s="4" t="s">
        <v>293</v>
      </c>
      <c r="I177" s="4" t="s">
        <v>23</v>
      </c>
      <c r="J177" s="4" t="s">
        <v>790</v>
      </c>
      <c r="K177" s="5" t="s">
        <v>25</v>
      </c>
      <c r="L177" s="4" t="s">
        <v>26</v>
      </c>
      <c r="M177" s="4" t="s">
        <v>27</v>
      </c>
    </row>
    <row r="178" ht="134" customHeight="1" spans="1:13" x14ac:dyDescent="0.25">
      <c r="A178" s="4" t="s">
        <v>791</v>
      </c>
      <c r="B178" s="4" t="s">
        <v>786</v>
      </c>
      <c r="C178" s="4" t="s">
        <v>787</v>
      </c>
      <c r="D178" s="4" t="s">
        <v>792</v>
      </c>
      <c r="E178" s="4" t="s">
        <v>301</v>
      </c>
      <c r="F178" s="4" t="s">
        <v>50</v>
      </c>
      <c r="G178" s="4" t="s">
        <v>793</v>
      </c>
      <c r="H178" s="4" t="s">
        <v>293</v>
      </c>
      <c r="I178" s="4" t="s">
        <v>23</v>
      </c>
      <c r="J178" s="4" t="s">
        <v>794</v>
      </c>
      <c r="K178" s="5" t="s">
        <v>25</v>
      </c>
      <c r="L178" s="4" t="s">
        <v>26</v>
      </c>
      <c r="M178" s="4" t="s">
        <v>27</v>
      </c>
    </row>
    <row r="179" ht="147" customHeight="1" spans="1:13" x14ac:dyDescent="0.25">
      <c r="A179" s="4" t="s">
        <v>795</v>
      </c>
      <c r="B179" s="4" t="s">
        <v>796</v>
      </c>
      <c r="C179" s="4" t="s">
        <v>797</v>
      </c>
      <c r="D179" s="4" t="s">
        <v>798</v>
      </c>
      <c r="E179" s="4" t="s">
        <v>68</v>
      </c>
      <c r="F179" s="4" t="s">
        <v>20</v>
      </c>
      <c r="G179" s="4" t="s">
        <v>799</v>
      </c>
      <c r="H179" s="4" t="s">
        <v>800</v>
      </c>
      <c r="I179" s="4" t="s">
        <v>23</v>
      </c>
      <c r="J179" s="4" t="s">
        <v>801</v>
      </c>
      <c r="K179" s="5" t="s">
        <v>25</v>
      </c>
      <c r="L179" s="4" t="s">
        <v>26</v>
      </c>
      <c r="M179" s="4" t="s">
        <v>27</v>
      </c>
    </row>
    <row r="180" ht="134" customHeight="1" spans="1:13" x14ac:dyDescent="0.25">
      <c r="A180" s="4" t="s">
        <v>802</v>
      </c>
      <c r="B180" s="4" t="s">
        <v>796</v>
      </c>
      <c r="C180" s="4" t="s">
        <v>797</v>
      </c>
      <c r="D180" s="4" t="s">
        <v>803</v>
      </c>
      <c r="E180" s="4" t="s">
        <v>68</v>
      </c>
      <c r="F180" s="4" t="s">
        <v>20</v>
      </c>
      <c r="G180" s="4" t="s">
        <v>804</v>
      </c>
      <c r="H180" s="4" t="s">
        <v>805</v>
      </c>
      <c r="I180" s="4" t="s">
        <v>23</v>
      </c>
      <c r="J180" s="4" t="s">
        <v>806</v>
      </c>
      <c r="K180" s="5" t="s">
        <v>25</v>
      </c>
      <c r="L180" s="4" t="s">
        <v>26</v>
      </c>
      <c r="M180" s="4" t="s">
        <v>27</v>
      </c>
    </row>
    <row r="181" ht="69" customHeight="1" spans="1:13" x14ac:dyDescent="0.25">
      <c r="A181" s="4" t="s">
        <v>807</v>
      </c>
      <c r="B181" s="4" t="s">
        <v>808</v>
      </c>
      <c r="C181" s="4" t="s">
        <v>809</v>
      </c>
      <c r="D181" s="4" t="s">
        <v>810</v>
      </c>
      <c r="E181" s="4" t="s">
        <v>301</v>
      </c>
      <c r="F181" s="4" t="s">
        <v>214</v>
      </c>
      <c r="G181" s="4" t="s">
        <v>811</v>
      </c>
      <c r="H181" s="4" t="s">
        <v>812</v>
      </c>
      <c r="I181" s="4" t="s">
        <v>23</v>
      </c>
      <c r="J181" s="4" t="s">
        <v>813</v>
      </c>
      <c r="K181" s="5" t="s">
        <v>25</v>
      </c>
      <c r="L181" s="4" t="s">
        <v>26</v>
      </c>
      <c r="M181" s="4" t="s">
        <v>27</v>
      </c>
    </row>
    <row r="182" ht="56" customHeight="1" spans="1:13" x14ac:dyDescent="0.25">
      <c r="A182" s="4" t="s">
        <v>814</v>
      </c>
      <c r="B182" s="4" t="s">
        <v>815</v>
      </c>
      <c r="C182" s="4" t="s">
        <v>816</v>
      </c>
      <c r="D182" s="4" t="s">
        <v>817</v>
      </c>
      <c r="E182" s="4" t="s">
        <v>68</v>
      </c>
      <c r="F182" s="4" t="s">
        <v>20</v>
      </c>
      <c r="G182" s="4" t="s">
        <v>818</v>
      </c>
      <c r="H182" s="4" t="s">
        <v>819</v>
      </c>
      <c r="I182" s="4" t="s">
        <v>23</v>
      </c>
      <c r="J182" s="4" t="s">
        <v>820</v>
      </c>
      <c r="K182" s="5" t="s">
        <v>25</v>
      </c>
      <c r="L182" s="4" t="s">
        <v>26</v>
      </c>
      <c r="M182" s="4" t="s">
        <v>27</v>
      </c>
    </row>
    <row r="183" ht="56" customHeight="1" spans="1:13" x14ac:dyDescent="0.25">
      <c r="A183" s="4" t="s">
        <v>821</v>
      </c>
      <c r="B183" s="4" t="s">
        <v>815</v>
      </c>
      <c r="C183" s="4" t="s">
        <v>816</v>
      </c>
      <c r="D183" s="4" t="s">
        <v>822</v>
      </c>
      <c r="E183" s="4" t="s">
        <v>301</v>
      </c>
      <c r="F183" s="4" t="s">
        <v>214</v>
      </c>
      <c r="G183" s="4" t="s">
        <v>823</v>
      </c>
      <c r="H183" s="4" t="s">
        <v>824</v>
      </c>
      <c r="I183" s="4" t="s">
        <v>23</v>
      </c>
      <c r="J183" s="4" t="s">
        <v>825</v>
      </c>
      <c r="K183" s="5" t="s">
        <v>25</v>
      </c>
      <c r="L183" s="4" t="s">
        <v>26</v>
      </c>
      <c r="M183" s="4" t="s">
        <v>27</v>
      </c>
    </row>
    <row r="184" ht="82" customHeight="1" spans="1:13" x14ac:dyDescent="0.25">
      <c r="A184" s="4" t="s">
        <v>826</v>
      </c>
      <c r="B184" s="4" t="s">
        <v>827</v>
      </c>
      <c r="C184" s="4" t="s">
        <v>828</v>
      </c>
      <c r="D184" s="4" t="s">
        <v>829</v>
      </c>
      <c r="E184" s="4" t="s">
        <v>301</v>
      </c>
      <c r="F184" s="4" t="s">
        <v>214</v>
      </c>
      <c r="G184" s="4" t="s">
        <v>830</v>
      </c>
      <c r="H184" s="4" t="s">
        <v>831</v>
      </c>
      <c r="I184" s="4" t="s">
        <v>23</v>
      </c>
      <c r="J184" s="4" t="s">
        <v>832</v>
      </c>
      <c r="K184" s="5" t="s">
        <v>25</v>
      </c>
      <c r="L184" s="4" t="s">
        <v>26</v>
      </c>
      <c r="M184" s="4" t="s">
        <v>27</v>
      </c>
    </row>
    <row r="185" ht="160" customHeight="1" spans="1:13" x14ac:dyDescent="0.25">
      <c r="A185" s="4" t="s">
        <v>833</v>
      </c>
      <c r="B185" s="4" t="s">
        <v>827</v>
      </c>
      <c r="C185" s="4" t="s">
        <v>828</v>
      </c>
      <c r="D185" s="4" t="s">
        <v>834</v>
      </c>
      <c r="E185" s="4" t="s">
        <v>301</v>
      </c>
      <c r="F185" s="4" t="s">
        <v>50</v>
      </c>
      <c r="G185" s="4" t="s">
        <v>835</v>
      </c>
      <c r="H185" s="4" t="s">
        <v>293</v>
      </c>
      <c r="I185" s="4" t="s">
        <v>23</v>
      </c>
      <c r="J185" s="4" t="s">
        <v>836</v>
      </c>
      <c r="K185" s="5" t="s">
        <v>25</v>
      </c>
      <c r="L185" s="4" t="s">
        <v>26</v>
      </c>
      <c r="M185" s="4" t="s">
        <v>27</v>
      </c>
    </row>
    <row r="186" ht="82" customHeight="1" spans="1:13" x14ac:dyDescent="0.25">
      <c r="A186" s="4" t="s">
        <v>837</v>
      </c>
      <c r="B186" s="4" t="s">
        <v>838</v>
      </c>
      <c r="C186" s="4" t="s">
        <v>839</v>
      </c>
      <c r="D186" s="4" t="s">
        <v>840</v>
      </c>
      <c r="E186" s="4" t="s">
        <v>301</v>
      </c>
      <c r="F186" s="4" t="s">
        <v>20</v>
      </c>
      <c r="G186" s="4" t="s">
        <v>841</v>
      </c>
      <c r="H186" s="4" t="s">
        <v>842</v>
      </c>
      <c r="I186" s="4" t="s">
        <v>23</v>
      </c>
      <c r="J186" s="4" t="s">
        <v>843</v>
      </c>
      <c r="K186" s="5" t="s">
        <v>25</v>
      </c>
      <c r="L186" s="4" t="s">
        <v>26</v>
      </c>
      <c r="M186" s="4" t="s">
        <v>27</v>
      </c>
    </row>
    <row r="187" ht="160" customHeight="1" spans="1:13" x14ac:dyDescent="0.25">
      <c r="A187" s="4" t="s">
        <v>844</v>
      </c>
      <c r="B187" s="4" t="s">
        <v>838</v>
      </c>
      <c r="C187" s="4" t="s">
        <v>839</v>
      </c>
      <c r="D187" s="4" t="s">
        <v>845</v>
      </c>
      <c r="E187" s="4" t="s">
        <v>301</v>
      </c>
      <c r="F187" s="4" t="s">
        <v>30</v>
      </c>
      <c r="G187" s="4" t="s">
        <v>846</v>
      </c>
      <c r="H187" s="4" t="s">
        <v>293</v>
      </c>
      <c r="I187" s="4" t="s">
        <v>23</v>
      </c>
      <c r="J187" s="4" t="s">
        <v>847</v>
      </c>
      <c r="K187" s="5" t="s">
        <v>25</v>
      </c>
      <c r="L187" s="4" t="s">
        <v>26</v>
      </c>
      <c r="M187" s="4" t="s">
        <v>27</v>
      </c>
    </row>
    <row r="188" ht="160" customHeight="1" spans="1:13" x14ac:dyDescent="0.25">
      <c r="A188" s="4" t="s">
        <v>848</v>
      </c>
      <c r="B188" s="4" t="s">
        <v>849</v>
      </c>
      <c r="C188" s="4" t="s">
        <v>850</v>
      </c>
      <c r="D188" s="4" t="s">
        <v>851</v>
      </c>
      <c r="E188" s="4" t="s">
        <v>301</v>
      </c>
      <c r="F188" s="4" t="s">
        <v>214</v>
      </c>
      <c r="G188" s="4" t="s">
        <v>852</v>
      </c>
      <c r="H188" s="4" t="s">
        <v>853</v>
      </c>
      <c r="I188" s="4" t="s">
        <v>23</v>
      </c>
      <c r="J188" s="4" t="s">
        <v>854</v>
      </c>
      <c r="K188" s="5" t="s">
        <v>25</v>
      </c>
      <c r="L188" s="4" t="s">
        <v>26</v>
      </c>
      <c r="M188" s="4" t="s">
        <v>27</v>
      </c>
    </row>
    <row r="189" ht="160" customHeight="1" spans="1:13" x14ac:dyDescent="0.25">
      <c r="A189" s="4" t="s">
        <v>855</v>
      </c>
      <c r="B189" s="4" t="s">
        <v>786</v>
      </c>
      <c r="C189" s="4" t="s">
        <v>787</v>
      </c>
      <c r="D189" s="4" t="s">
        <v>856</v>
      </c>
      <c r="E189" s="4" t="s">
        <v>301</v>
      </c>
      <c r="F189" s="4" t="s">
        <v>20</v>
      </c>
      <c r="G189" s="4" t="s">
        <v>857</v>
      </c>
      <c r="H189" s="4" t="s">
        <v>293</v>
      </c>
      <c r="I189" s="4" t="s">
        <v>23</v>
      </c>
      <c r="J189" s="4" t="s">
        <v>858</v>
      </c>
      <c r="K189" s="5" t="s">
        <v>25</v>
      </c>
      <c r="L189" s="4" t="s">
        <v>26</v>
      </c>
      <c r="M189" s="4" t="s">
        <v>27</v>
      </c>
    </row>
  </sheetData>
  <autoFilter ref="A3:M189"/>
  <mergeCells count="2">
    <mergeCell ref="A1:M1"/>
    <mergeCell ref="A2:M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workbookViewId="0">
      <pane xSplit="1" ySplit="3" topLeftCell="B4" activePane="bottomRight" state="frozen"/>
      <selection pane="bottomRight"/>
    </sheetView>
  </sheetViews>
  <sheetFormatPr defaultRowHeight="15" outlineLevelRow="0" outlineLevelCol="0" x14ac:dyDescent="55"/>
  <cols>
    <col min="1" max="2" width="17" customWidth="1"/>
    <col min="3" max="3" width="10" customWidth="1"/>
    <col min="4" max="4" width="20" customWidth="1"/>
    <col min="5" max="5" width="38" customWidth="1"/>
    <col min="6" max="6" width="8" customWidth="1"/>
    <col min="7" max="7" width="22" customWidth="1"/>
    <col min="8" max="8" width="46" customWidth="1"/>
    <col min="9" max="9" width="12" customWidth="1"/>
    <col min="10" max="10" width="10" customWidth="1"/>
    <col min="11" max="11" width="8" customWidth="1"/>
    <col min="12" max="12" width="14" customWidth="1"/>
  </cols>
  <sheetData>
    <row r="1" spans="1:12" x14ac:dyDescent="0.25">
      <c r="A1" s="1" t="s">
        <v>859</v>
      </c>
      <c r="B1" s="1"/>
      <c r="C1" s="1"/>
      <c r="D1" s="1"/>
      <c r="E1" s="1"/>
      <c r="F1" s="1"/>
      <c r="G1" s="1"/>
      <c r="H1" s="1"/>
      <c r="I1" s="1"/>
      <c r="J1" s="1"/>
      <c r="K1" s="1"/>
      <c r="L1" s="1"/>
    </row>
    <row r="2" ht="58" customHeight="1" spans="1:12" x14ac:dyDescent="0.25">
      <c r="A2" s="2" t="s">
        <v>860</v>
      </c>
      <c r="B2" s="2"/>
      <c r="C2" s="2"/>
      <c r="D2" s="2"/>
      <c r="E2" s="2"/>
      <c r="F2" s="2"/>
      <c r="G2" s="2"/>
      <c r="H2" s="2"/>
      <c r="I2" s="2"/>
      <c r="J2" s="2"/>
      <c r="K2" s="2"/>
      <c r="L2" s="2"/>
    </row>
    <row r="3" ht="30" customHeight="1" spans="1:12" x14ac:dyDescent="0.25">
      <c r="A3" s="3" t="s">
        <v>861</v>
      </c>
      <c r="B3" s="3" t="s">
        <v>2</v>
      </c>
      <c r="C3" s="3" t="s">
        <v>3</v>
      </c>
      <c r="D3" s="3" t="s">
        <v>4</v>
      </c>
      <c r="E3" s="3" t="s">
        <v>5</v>
      </c>
      <c r="F3" s="3" t="s">
        <v>6</v>
      </c>
      <c r="G3" s="3" t="s">
        <v>862</v>
      </c>
      <c r="H3" s="3" t="s">
        <v>863</v>
      </c>
      <c r="I3" s="3" t="s">
        <v>864</v>
      </c>
      <c r="J3" s="3" t="s">
        <v>865</v>
      </c>
      <c r="K3" s="3" t="s">
        <v>866</v>
      </c>
      <c r="L3" s="3" t="s">
        <v>867</v>
      </c>
    </row>
    <row r="4" ht="30" customHeight="1" spans="1:12" x14ac:dyDescent="0.25">
      <c r="A4" s="4" t="s">
        <v>15</v>
      </c>
      <c r="B4" s="4" t="s">
        <v>15</v>
      </c>
      <c r="C4" s="4" t="s">
        <v>16</v>
      </c>
      <c r="D4" s="4" t="s">
        <v>17</v>
      </c>
      <c r="E4" s="4" t="s">
        <v>18</v>
      </c>
      <c r="F4" s="4" t="s">
        <v>19</v>
      </c>
      <c r="G4" s="4" t="s">
        <v>868</v>
      </c>
      <c r="H4" s="4" t="s">
        <v>869</v>
      </c>
      <c r="I4" s="5" t="s">
        <v>25</v>
      </c>
      <c r="J4" s="9">
        <v>5.9</v>
      </c>
      <c r="K4" s="4">
        <v>0</v>
      </c>
      <c r="L4" s="4" t="s">
        <v>870</v>
      </c>
    </row>
    <row r="5" ht="30" customHeight="1" spans="1:12" x14ac:dyDescent="0.25">
      <c r="A5" s="4" t="s">
        <v>28</v>
      </c>
      <c r="B5" s="4" t="s">
        <v>28</v>
      </c>
      <c r="C5" s="4" t="s">
        <v>16</v>
      </c>
      <c r="D5" s="4" t="s">
        <v>17</v>
      </c>
      <c r="E5" s="4" t="s">
        <v>29</v>
      </c>
      <c r="F5" s="4" t="s">
        <v>19</v>
      </c>
      <c r="G5" s="4" t="s">
        <v>868</v>
      </c>
      <c r="H5" s="4" t="s">
        <v>871</v>
      </c>
      <c r="I5" s="5" t="s">
        <v>25</v>
      </c>
      <c r="J5" s="9">
        <v>4.7</v>
      </c>
      <c r="K5" s="4">
        <v>0</v>
      </c>
      <c r="L5" s="4" t="s">
        <v>870</v>
      </c>
    </row>
    <row r="6" ht="30" customHeight="1" spans="1:12" x14ac:dyDescent="0.25">
      <c r="A6" s="4" t="s">
        <v>34</v>
      </c>
      <c r="B6" s="4" t="s">
        <v>34</v>
      </c>
      <c r="C6" s="4" t="s">
        <v>16</v>
      </c>
      <c r="D6" s="4" t="s">
        <v>17</v>
      </c>
      <c r="E6" s="4" t="s">
        <v>35</v>
      </c>
      <c r="F6" s="4" t="s">
        <v>19</v>
      </c>
      <c r="G6" s="4" t="s">
        <v>868</v>
      </c>
      <c r="H6" s="4" t="s">
        <v>872</v>
      </c>
      <c r="I6" s="5" t="s">
        <v>25</v>
      </c>
      <c r="J6" s="9">
        <v>5.6</v>
      </c>
      <c r="K6" s="4">
        <v>0</v>
      </c>
      <c r="L6" s="4" t="s">
        <v>870</v>
      </c>
    </row>
    <row r="7" ht="43" customHeight="1" spans="1:12" x14ac:dyDescent="0.25">
      <c r="A7" s="4" t="s">
        <v>38</v>
      </c>
      <c r="B7" s="4" t="s">
        <v>38</v>
      </c>
      <c r="C7" s="4" t="s">
        <v>16</v>
      </c>
      <c r="D7" s="4" t="s">
        <v>17</v>
      </c>
      <c r="E7" s="4" t="s">
        <v>39</v>
      </c>
      <c r="F7" s="4" t="s">
        <v>19</v>
      </c>
      <c r="G7" s="4" t="s">
        <v>868</v>
      </c>
      <c r="H7" s="4" t="s">
        <v>873</v>
      </c>
      <c r="I7" s="5" t="s">
        <v>25</v>
      </c>
      <c r="J7" s="9">
        <v>4.9</v>
      </c>
      <c r="K7" s="4">
        <v>0</v>
      </c>
      <c r="L7" s="4" t="s">
        <v>874</v>
      </c>
    </row>
    <row r="8" ht="30" customHeight="1" spans="1:12" x14ac:dyDescent="0.25">
      <c r="A8" s="4" t="s">
        <v>47</v>
      </c>
      <c r="B8" s="4" t="s">
        <v>47</v>
      </c>
      <c r="C8" s="4" t="s">
        <v>16</v>
      </c>
      <c r="D8" s="4" t="s">
        <v>17</v>
      </c>
      <c r="E8" s="4" t="s">
        <v>48</v>
      </c>
      <c r="F8" s="4" t="s">
        <v>49</v>
      </c>
      <c r="G8" s="4" t="s">
        <v>868</v>
      </c>
      <c r="H8" s="4" t="s">
        <v>875</v>
      </c>
      <c r="I8" s="5" t="s">
        <v>25</v>
      </c>
      <c r="J8" s="9">
        <v>2.9</v>
      </c>
      <c r="K8" s="4">
        <v>0</v>
      </c>
      <c r="L8" s="4" t="s">
        <v>870</v>
      </c>
    </row>
    <row r="9" ht="30" customHeight="1" spans="1:12" x14ac:dyDescent="0.25">
      <c r="A9" s="4" t="s">
        <v>59</v>
      </c>
      <c r="B9" s="4" t="s">
        <v>59</v>
      </c>
      <c r="C9" s="4" t="s">
        <v>16</v>
      </c>
      <c r="D9" s="4" t="s">
        <v>17</v>
      </c>
      <c r="E9" s="4" t="s">
        <v>60</v>
      </c>
      <c r="F9" s="4" t="s">
        <v>19</v>
      </c>
      <c r="G9" s="4" t="s">
        <v>868</v>
      </c>
      <c r="H9" s="4" t="s">
        <v>876</v>
      </c>
      <c r="I9" s="5" t="s">
        <v>25</v>
      </c>
      <c r="J9" s="9">
        <v>3.3</v>
      </c>
      <c r="K9" s="4">
        <v>0</v>
      </c>
      <c r="L9" s="4" t="s">
        <v>870</v>
      </c>
    </row>
    <row r="10" ht="30" customHeight="1" spans="1:12" x14ac:dyDescent="0.25">
      <c r="A10" s="4" t="s">
        <v>64</v>
      </c>
      <c r="B10" s="4" t="s">
        <v>64</v>
      </c>
      <c r="C10" s="4" t="s">
        <v>65</v>
      </c>
      <c r="D10" s="4" t="s">
        <v>66</v>
      </c>
      <c r="E10" s="4" t="s">
        <v>67</v>
      </c>
      <c r="F10" s="4" t="s">
        <v>68</v>
      </c>
      <c r="G10" s="4" t="s">
        <v>868</v>
      </c>
      <c r="H10" s="4" t="s">
        <v>877</v>
      </c>
      <c r="I10" s="5" t="s">
        <v>25</v>
      </c>
      <c r="J10" s="9">
        <v>6.4</v>
      </c>
      <c r="K10" s="4">
        <v>0</v>
      </c>
      <c r="L10" s="4" t="s">
        <v>870</v>
      </c>
    </row>
    <row r="11" ht="17" customHeight="1" spans="1:12" x14ac:dyDescent="0.25">
      <c r="A11" s="4" t="s">
        <v>104</v>
      </c>
      <c r="B11" s="4" t="s">
        <v>104</v>
      </c>
      <c r="C11" s="4" t="s">
        <v>105</v>
      </c>
      <c r="D11" s="4" t="s">
        <v>106</v>
      </c>
      <c r="E11" s="4" t="s">
        <v>107</v>
      </c>
      <c r="F11" s="4" t="s">
        <v>19</v>
      </c>
      <c r="G11" s="4" t="s">
        <v>868</v>
      </c>
      <c r="H11" s="4" t="s">
        <v>878</v>
      </c>
      <c r="I11" s="5" t="s">
        <v>25</v>
      </c>
      <c r="J11" s="9">
        <v>8.7</v>
      </c>
      <c r="K11" s="4">
        <v>0</v>
      </c>
      <c r="L11" s="4" t="s">
        <v>870</v>
      </c>
    </row>
    <row r="12" ht="30" customHeight="1" spans="1:12" x14ac:dyDescent="0.25">
      <c r="A12" s="4" t="s">
        <v>111</v>
      </c>
      <c r="B12" s="4" t="s">
        <v>111</v>
      </c>
      <c r="C12" s="4" t="s">
        <v>105</v>
      </c>
      <c r="D12" s="4" t="s">
        <v>106</v>
      </c>
      <c r="E12" s="4" t="s">
        <v>112</v>
      </c>
      <c r="F12" s="4" t="s">
        <v>19</v>
      </c>
      <c r="G12" s="4" t="s">
        <v>868</v>
      </c>
      <c r="H12" s="4" t="s">
        <v>879</v>
      </c>
      <c r="I12" s="5" t="s">
        <v>25</v>
      </c>
      <c r="J12" s="9">
        <v>16.2</v>
      </c>
      <c r="K12" s="4">
        <v>0</v>
      </c>
      <c r="L12" s="4" t="s">
        <v>870</v>
      </c>
    </row>
    <row r="13" ht="17" customHeight="1" spans="1:12" x14ac:dyDescent="0.25">
      <c r="A13" s="4" t="s">
        <v>116</v>
      </c>
      <c r="B13" s="4" t="s">
        <v>116</v>
      </c>
      <c r="C13" s="4" t="s">
        <v>117</v>
      </c>
      <c r="D13" s="4" t="s">
        <v>118</v>
      </c>
      <c r="E13" s="4" t="s">
        <v>119</v>
      </c>
      <c r="F13" s="4" t="s">
        <v>19</v>
      </c>
      <c r="G13" s="4" t="s">
        <v>880</v>
      </c>
      <c r="H13" s="4" t="s">
        <v>881</v>
      </c>
      <c r="I13" s="5" t="s">
        <v>882</v>
      </c>
      <c r="J13" s="9">
        <v>30.1</v>
      </c>
      <c r="K13" s="4">
        <v>1</v>
      </c>
      <c r="L13" s="4" t="s">
        <v>870</v>
      </c>
    </row>
    <row r="14" ht="17" customHeight="1" spans="1:12" x14ac:dyDescent="0.25">
      <c r="A14" s="4" t="s">
        <v>123</v>
      </c>
      <c r="B14" s="4" t="s">
        <v>123</v>
      </c>
      <c r="C14" s="4" t="s">
        <v>117</v>
      </c>
      <c r="D14" s="4" t="s">
        <v>118</v>
      </c>
      <c r="E14" s="4" t="s">
        <v>124</v>
      </c>
      <c r="F14" s="4" t="s">
        <v>19</v>
      </c>
      <c r="G14" s="4" t="s">
        <v>880</v>
      </c>
      <c r="H14" s="4" t="s">
        <v>883</v>
      </c>
      <c r="I14" s="5" t="s">
        <v>25</v>
      </c>
      <c r="J14" s="9">
        <v>20.9</v>
      </c>
      <c r="K14" s="4">
        <v>0</v>
      </c>
      <c r="L14" s="4" t="s">
        <v>870</v>
      </c>
    </row>
    <row r="15" ht="30" customHeight="1" spans="1:12" x14ac:dyDescent="0.25">
      <c r="A15" s="4" t="s">
        <v>128</v>
      </c>
      <c r="B15" s="4" t="s">
        <v>128</v>
      </c>
      <c r="C15" s="4" t="s">
        <v>117</v>
      </c>
      <c r="D15" s="4" t="s">
        <v>118</v>
      </c>
      <c r="E15" s="4" t="s">
        <v>129</v>
      </c>
      <c r="F15" s="4" t="s">
        <v>19</v>
      </c>
      <c r="G15" s="4" t="s">
        <v>880</v>
      </c>
      <c r="H15" s="4" t="s">
        <v>884</v>
      </c>
      <c r="I15" s="5" t="s">
        <v>25</v>
      </c>
      <c r="J15" s="9">
        <v>11.8</v>
      </c>
      <c r="K15" s="4">
        <v>0</v>
      </c>
      <c r="L15" s="4" t="s">
        <v>870</v>
      </c>
    </row>
    <row r="16" ht="30" customHeight="1" spans="1:12" x14ac:dyDescent="0.25">
      <c r="A16" s="4" t="s">
        <v>138</v>
      </c>
      <c r="B16" s="4" t="s">
        <v>138</v>
      </c>
      <c r="C16" s="4" t="s">
        <v>117</v>
      </c>
      <c r="D16" s="4" t="s">
        <v>118</v>
      </c>
      <c r="E16" s="4" t="s">
        <v>139</v>
      </c>
      <c r="F16" s="4" t="s">
        <v>19</v>
      </c>
      <c r="G16" s="4" t="s">
        <v>880</v>
      </c>
      <c r="H16" s="4" t="s">
        <v>885</v>
      </c>
      <c r="I16" s="5" t="s">
        <v>25</v>
      </c>
      <c r="J16" s="9">
        <v>12.2</v>
      </c>
      <c r="K16" s="4">
        <v>0</v>
      </c>
      <c r="L16" s="4" t="s">
        <v>870</v>
      </c>
    </row>
    <row r="17" ht="30" customHeight="1" spans="1:12" x14ac:dyDescent="0.25">
      <c r="A17" s="4" t="s">
        <v>143</v>
      </c>
      <c r="B17" s="4" t="s">
        <v>143</v>
      </c>
      <c r="C17" s="4" t="s">
        <v>117</v>
      </c>
      <c r="D17" s="4" t="s">
        <v>118</v>
      </c>
      <c r="E17" s="4" t="s">
        <v>144</v>
      </c>
      <c r="F17" s="4" t="s">
        <v>19</v>
      </c>
      <c r="G17" s="4" t="s">
        <v>880</v>
      </c>
      <c r="H17" s="4" t="s">
        <v>886</v>
      </c>
      <c r="I17" s="5" t="s">
        <v>25</v>
      </c>
      <c r="J17" s="9">
        <v>14.8</v>
      </c>
      <c r="K17" s="4">
        <v>0</v>
      </c>
      <c r="L17" s="4" t="s">
        <v>870</v>
      </c>
    </row>
    <row r="18" ht="30" customHeight="1" spans="1:12" x14ac:dyDescent="0.25">
      <c r="A18" s="4" t="s">
        <v>148</v>
      </c>
      <c r="B18" s="4" t="s">
        <v>148</v>
      </c>
      <c r="C18" s="4" t="s">
        <v>117</v>
      </c>
      <c r="D18" s="4" t="s">
        <v>118</v>
      </c>
      <c r="E18" s="4" t="s">
        <v>149</v>
      </c>
      <c r="F18" s="4" t="s">
        <v>19</v>
      </c>
      <c r="G18" s="4" t="s">
        <v>880</v>
      </c>
      <c r="H18" s="4" t="s">
        <v>887</v>
      </c>
      <c r="I18" s="5" t="s">
        <v>25</v>
      </c>
      <c r="J18" s="9">
        <v>14</v>
      </c>
      <c r="K18" s="4">
        <v>0</v>
      </c>
      <c r="L18" s="4" t="s">
        <v>870</v>
      </c>
    </row>
    <row r="19" ht="30" customHeight="1" spans="1:12" x14ac:dyDescent="0.25">
      <c r="A19" s="4" t="s">
        <v>158</v>
      </c>
      <c r="B19" s="4" t="s">
        <v>158</v>
      </c>
      <c r="C19" s="4" t="s">
        <v>159</v>
      </c>
      <c r="D19" s="4" t="s">
        <v>118</v>
      </c>
      <c r="E19" s="4" t="s">
        <v>160</v>
      </c>
      <c r="F19" s="4" t="s">
        <v>49</v>
      </c>
      <c r="G19" s="4" t="s">
        <v>880</v>
      </c>
      <c r="H19" s="4" t="s">
        <v>888</v>
      </c>
      <c r="I19" s="5" t="s">
        <v>25</v>
      </c>
      <c r="J19" s="9">
        <v>7.6</v>
      </c>
      <c r="K19" s="4">
        <v>0</v>
      </c>
      <c r="L19" s="4" t="s">
        <v>870</v>
      </c>
    </row>
    <row r="20" ht="30" customHeight="1" spans="1:12" x14ac:dyDescent="0.25">
      <c r="A20" s="4" t="s">
        <v>181</v>
      </c>
      <c r="B20" s="4" t="s">
        <v>181</v>
      </c>
      <c r="C20" s="4" t="s">
        <v>182</v>
      </c>
      <c r="D20" s="4" t="s">
        <v>118</v>
      </c>
      <c r="E20" s="4" t="s">
        <v>183</v>
      </c>
      <c r="F20" s="4" t="s">
        <v>49</v>
      </c>
      <c r="G20" s="4" t="s">
        <v>880</v>
      </c>
      <c r="H20" s="4" t="s">
        <v>889</v>
      </c>
      <c r="I20" s="5" t="s">
        <v>25</v>
      </c>
      <c r="J20" s="9">
        <v>6.9</v>
      </c>
      <c r="K20" s="4">
        <v>0</v>
      </c>
      <c r="L20" s="4" t="s">
        <v>870</v>
      </c>
    </row>
    <row r="21" ht="17" customHeight="1" spans="1:12" x14ac:dyDescent="0.25">
      <c r="A21" s="4" t="s">
        <v>205</v>
      </c>
      <c r="B21" s="4" t="s">
        <v>205</v>
      </c>
      <c r="C21" s="4" t="s">
        <v>206</v>
      </c>
      <c r="D21" s="4" t="s">
        <v>118</v>
      </c>
      <c r="E21" s="4" t="s">
        <v>207</v>
      </c>
      <c r="F21" s="4" t="s">
        <v>19</v>
      </c>
      <c r="G21" s="4" t="s">
        <v>880</v>
      </c>
      <c r="H21" s="4" t="s">
        <v>890</v>
      </c>
      <c r="I21" s="5" t="s">
        <v>25</v>
      </c>
      <c r="J21" s="9">
        <v>15.8</v>
      </c>
      <c r="K21" s="4">
        <v>0</v>
      </c>
      <c r="L21" s="4" t="s">
        <v>870</v>
      </c>
    </row>
    <row r="22" ht="30" customHeight="1" spans="1:12" x14ac:dyDescent="0.25">
      <c r="A22" s="4" t="s">
        <v>218</v>
      </c>
      <c r="B22" s="4" t="s">
        <v>218</v>
      </c>
      <c r="C22" s="4" t="s">
        <v>219</v>
      </c>
      <c r="D22" s="4" t="s">
        <v>118</v>
      </c>
      <c r="E22" s="4" t="s">
        <v>220</v>
      </c>
      <c r="F22" s="4" t="s">
        <v>19</v>
      </c>
      <c r="G22" s="4" t="s">
        <v>880</v>
      </c>
      <c r="H22" s="4" t="s">
        <v>891</v>
      </c>
      <c r="I22" s="5" t="s">
        <v>25</v>
      </c>
      <c r="J22" s="9">
        <v>14.7</v>
      </c>
      <c r="K22" s="4">
        <v>0</v>
      </c>
      <c r="L22" s="4" t="s">
        <v>870</v>
      </c>
    </row>
    <row r="23" ht="17" customHeight="1" spans="1:12" x14ac:dyDescent="0.25">
      <c r="A23" s="4" t="s">
        <v>230</v>
      </c>
      <c r="B23" s="4" t="s">
        <v>230</v>
      </c>
      <c r="C23" s="4" t="s">
        <v>219</v>
      </c>
      <c r="D23" s="4" t="s">
        <v>118</v>
      </c>
      <c r="E23" s="4" t="s">
        <v>231</v>
      </c>
      <c r="F23" s="4" t="s">
        <v>19</v>
      </c>
      <c r="G23" s="4" t="s">
        <v>880</v>
      </c>
      <c r="H23" s="4" t="s">
        <v>892</v>
      </c>
      <c r="I23" s="5" t="s">
        <v>25</v>
      </c>
      <c r="J23" s="9">
        <v>23.8</v>
      </c>
      <c r="K23" s="4">
        <v>0</v>
      </c>
      <c r="L23" s="4" t="s">
        <v>870</v>
      </c>
    </row>
    <row r="24" ht="30" customHeight="1" spans="1:12" x14ac:dyDescent="0.25">
      <c r="A24" s="4" t="s">
        <v>236</v>
      </c>
      <c r="B24" s="4" t="s">
        <v>236</v>
      </c>
      <c r="C24" s="4" t="s">
        <v>219</v>
      </c>
      <c r="D24" s="4" t="s">
        <v>118</v>
      </c>
      <c r="E24" s="4" t="s">
        <v>237</v>
      </c>
      <c r="F24" s="4" t="s">
        <v>68</v>
      </c>
      <c r="G24" s="4" t="s">
        <v>880</v>
      </c>
      <c r="H24" s="4" t="s">
        <v>893</v>
      </c>
      <c r="I24" s="5" t="s">
        <v>25</v>
      </c>
      <c r="J24" s="9">
        <v>14.1</v>
      </c>
      <c r="K24" s="4">
        <v>0</v>
      </c>
      <c r="L24" s="4" t="s">
        <v>870</v>
      </c>
    </row>
    <row r="25" ht="17" customHeight="1" spans="1:12" x14ac:dyDescent="0.25">
      <c r="A25" s="4" t="s">
        <v>246</v>
      </c>
      <c r="B25" s="4" t="s">
        <v>246</v>
      </c>
      <c r="C25" s="4" t="s">
        <v>247</v>
      </c>
      <c r="D25" s="4" t="s">
        <v>248</v>
      </c>
      <c r="E25" s="4" t="s">
        <v>249</v>
      </c>
      <c r="F25" s="4" t="s">
        <v>49</v>
      </c>
      <c r="G25" s="4" t="s">
        <v>894</v>
      </c>
      <c r="H25" s="4" t="s">
        <v>895</v>
      </c>
      <c r="I25" s="5" t="s">
        <v>25</v>
      </c>
      <c r="J25" s="9">
        <v>8.9</v>
      </c>
      <c r="K25" s="4">
        <v>0</v>
      </c>
      <c r="L25" s="4" t="s">
        <v>870</v>
      </c>
    </row>
    <row r="26" ht="30" customHeight="1" spans="1:12" x14ac:dyDescent="0.25">
      <c r="A26" s="4" t="s">
        <v>253</v>
      </c>
      <c r="B26" s="4" t="s">
        <v>253</v>
      </c>
      <c r="C26" s="4" t="s">
        <v>247</v>
      </c>
      <c r="D26" s="4" t="s">
        <v>248</v>
      </c>
      <c r="E26" s="4" t="s">
        <v>254</v>
      </c>
      <c r="F26" s="4" t="s">
        <v>49</v>
      </c>
      <c r="G26" s="4" t="s">
        <v>894</v>
      </c>
      <c r="H26" s="4" t="s">
        <v>896</v>
      </c>
      <c r="I26" s="5" t="s">
        <v>25</v>
      </c>
      <c r="J26" s="9">
        <v>5.7</v>
      </c>
      <c r="K26" s="4">
        <v>0</v>
      </c>
      <c r="L26" s="4" t="s">
        <v>870</v>
      </c>
    </row>
    <row r="27" ht="17" customHeight="1" spans="1:12" x14ac:dyDescent="0.25">
      <c r="A27" s="4" t="s">
        <v>270</v>
      </c>
      <c r="B27" s="4" t="s">
        <v>270</v>
      </c>
      <c r="C27" s="4" t="s">
        <v>247</v>
      </c>
      <c r="D27" s="4" t="s">
        <v>248</v>
      </c>
      <c r="E27" s="4" t="s">
        <v>271</v>
      </c>
      <c r="F27" s="4" t="s">
        <v>49</v>
      </c>
      <c r="G27" s="4" t="s">
        <v>894</v>
      </c>
      <c r="H27" s="4" t="s">
        <v>897</v>
      </c>
      <c r="I27" s="5" t="s">
        <v>25</v>
      </c>
      <c r="J27" s="9">
        <v>14.2</v>
      </c>
      <c r="K27" s="4">
        <v>0</v>
      </c>
      <c r="L27" s="4" t="s">
        <v>870</v>
      </c>
    </row>
    <row r="28" ht="30" customHeight="1" spans="1:12" x14ac:dyDescent="0.25">
      <c r="A28" s="4" t="s">
        <v>275</v>
      </c>
      <c r="B28" s="4" t="s">
        <v>275</v>
      </c>
      <c r="C28" s="4" t="s">
        <v>247</v>
      </c>
      <c r="D28" s="4" t="s">
        <v>248</v>
      </c>
      <c r="E28" s="4" t="s">
        <v>276</v>
      </c>
      <c r="F28" s="4" t="s">
        <v>68</v>
      </c>
      <c r="G28" s="4" t="s">
        <v>894</v>
      </c>
      <c r="H28" s="4" t="s">
        <v>898</v>
      </c>
      <c r="I28" s="5" t="s">
        <v>25</v>
      </c>
      <c r="J28" s="9">
        <v>7.4</v>
      </c>
      <c r="K28" s="4">
        <v>0</v>
      </c>
      <c r="L28" s="4" t="s">
        <v>870</v>
      </c>
    </row>
    <row r="29" ht="30" customHeight="1" spans="1:12" x14ac:dyDescent="0.25">
      <c r="A29" s="4" t="s">
        <v>280</v>
      </c>
      <c r="B29" s="4" t="s">
        <v>280</v>
      </c>
      <c r="C29" s="4" t="s">
        <v>247</v>
      </c>
      <c r="D29" s="4" t="s">
        <v>248</v>
      </c>
      <c r="E29" s="4" t="s">
        <v>281</v>
      </c>
      <c r="F29" s="4" t="s">
        <v>49</v>
      </c>
      <c r="G29" s="4" t="s">
        <v>894</v>
      </c>
      <c r="H29" s="4" t="s">
        <v>899</v>
      </c>
      <c r="I29" s="5" t="s">
        <v>25</v>
      </c>
      <c r="J29" s="9">
        <v>9.8</v>
      </c>
      <c r="K29" s="4">
        <v>0</v>
      </c>
      <c r="L29" s="4" t="s">
        <v>870</v>
      </c>
    </row>
    <row r="30" ht="30" customHeight="1" spans="1:12" x14ac:dyDescent="0.25">
      <c r="A30" s="4" t="s">
        <v>285</v>
      </c>
      <c r="B30" s="4" t="s">
        <v>285</v>
      </c>
      <c r="C30" s="4" t="s">
        <v>247</v>
      </c>
      <c r="D30" s="4" t="s">
        <v>248</v>
      </c>
      <c r="E30" s="4" t="s">
        <v>286</v>
      </c>
      <c r="F30" s="4" t="s">
        <v>68</v>
      </c>
      <c r="G30" s="4" t="s">
        <v>894</v>
      </c>
      <c r="H30" s="4" t="s">
        <v>900</v>
      </c>
      <c r="I30" s="5" t="s">
        <v>25</v>
      </c>
      <c r="J30" s="9">
        <v>9.5</v>
      </c>
      <c r="K30" s="4">
        <v>0</v>
      </c>
      <c r="L30" s="4" t="s">
        <v>870</v>
      </c>
    </row>
    <row r="31" ht="30" customHeight="1" spans="1:12" x14ac:dyDescent="0.25">
      <c r="A31" s="4" t="s">
        <v>343</v>
      </c>
      <c r="B31" s="4" t="s">
        <v>343</v>
      </c>
      <c r="C31" s="4" t="s">
        <v>311</v>
      </c>
      <c r="D31" s="4" t="s">
        <v>312</v>
      </c>
      <c r="E31" s="4" t="s">
        <v>344</v>
      </c>
      <c r="F31" s="4" t="s">
        <v>49</v>
      </c>
      <c r="G31" s="4" t="s">
        <v>894</v>
      </c>
      <c r="H31" s="4" t="s">
        <v>901</v>
      </c>
      <c r="I31" s="5" t="s">
        <v>25</v>
      </c>
      <c r="J31" s="9">
        <v>9.3</v>
      </c>
      <c r="K31" s="4">
        <v>0</v>
      </c>
      <c r="L31" s="4" t="s">
        <v>870</v>
      </c>
    </row>
    <row r="32" ht="30" customHeight="1" spans="1:12" x14ac:dyDescent="0.25">
      <c r="A32" s="4" t="s">
        <v>443</v>
      </c>
      <c r="B32" s="4" t="s">
        <v>443</v>
      </c>
      <c r="C32" s="4" t="s">
        <v>426</v>
      </c>
      <c r="D32" s="4" t="s">
        <v>427</v>
      </c>
      <c r="E32" s="4" t="s">
        <v>444</v>
      </c>
      <c r="F32" s="4" t="s">
        <v>49</v>
      </c>
      <c r="G32" s="4" t="s">
        <v>894</v>
      </c>
      <c r="H32" s="4" t="s">
        <v>902</v>
      </c>
      <c r="I32" s="5" t="s">
        <v>25</v>
      </c>
      <c r="J32" s="9">
        <v>8.4</v>
      </c>
      <c r="K32" s="4">
        <v>0</v>
      </c>
      <c r="L32" s="4" t="s">
        <v>870</v>
      </c>
    </row>
    <row r="33" ht="30" customHeight="1" spans="1:12" x14ac:dyDescent="0.25">
      <c r="A33" s="4" t="s">
        <v>470</v>
      </c>
      <c r="B33" s="4" t="s">
        <v>470</v>
      </c>
      <c r="C33" s="4" t="s">
        <v>471</v>
      </c>
      <c r="D33" s="4" t="s">
        <v>472</v>
      </c>
      <c r="E33" s="4" t="s">
        <v>473</v>
      </c>
      <c r="F33" s="4" t="s">
        <v>49</v>
      </c>
      <c r="G33" s="4" t="s">
        <v>903</v>
      </c>
      <c r="H33" s="4" t="s">
        <v>904</v>
      </c>
      <c r="I33" s="5" t="s">
        <v>25</v>
      </c>
      <c r="J33" s="9">
        <v>4.7</v>
      </c>
      <c r="K33" s="4">
        <v>0</v>
      </c>
      <c r="L33" s="4" t="s">
        <v>870</v>
      </c>
    </row>
    <row r="34" ht="17" customHeight="1" spans="1:12" x14ac:dyDescent="0.25">
      <c r="A34" s="4" t="s">
        <v>497</v>
      </c>
      <c r="B34" s="4" t="s">
        <v>497</v>
      </c>
      <c r="C34" s="4" t="s">
        <v>498</v>
      </c>
      <c r="D34" s="4" t="s">
        <v>499</v>
      </c>
      <c r="E34" s="4" t="s">
        <v>500</v>
      </c>
      <c r="F34" s="4" t="s">
        <v>49</v>
      </c>
      <c r="G34" s="4" t="s">
        <v>903</v>
      </c>
      <c r="H34" s="4" t="s">
        <v>905</v>
      </c>
      <c r="I34" s="5" t="s">
        <v>25</v>
      </c>
      <c r="J34" s="9">
        <v>10.2</v>
      </c>
      <c r="K34" s="4">
        <v>0</v>
      </c>
      <c r="L34" s="4" t="s">
        <v>870</v>
      </c>
    </row>
    <row r="35" ht="17" customHeight="1" spans="1:12" x14ac:dyDescent="0.25">
      <c r="A35" s="4" t="s">
        <v>504</v>
      </c>
      <c r="B35" s="4" t="s">
        <v>504</v>
      </c>
      <c r="C35" s="4" t="s">
        <v>498</v>
      </c>
      <c r="D35" s="4" t="s">
        <v>499</v>
      </c>
      <c r="E35" s="4" t="s">
        <v>317</v>
      </c>
      <c r="F35" s="4" t="s">
        <v>49</v>
      </c>
      <c r="G35" s="4" t="s">
        <v>903</v>
      </c>
      <c r="H35" s="4" t="s">
        <v>906</v>
      </c>
      <c r="I35" s="5" t="s">
        <v>25</v>
      </c>
      <c r="J35" s="9">
        <v>6.5</v>
      </c>
      <c r="K35" s="4">
        <v>0</v>
      </c>
      <c r="L35" s="4" t="s">
        <v>870</v>
      </c>
    </row>
    <row r="36" ht="30" customHeight="1" spans="1:12" x14ac:dyDescent="0.25">
      <c r="A36" s="4" t="s">
        <v>543</v>
      </c>
      <c r="B36" s="4" t="s">
        <v>543</v>
      </c>
      <c r="C36" s="4" t="s">
        <v>532</v>
      </c>
      <c r="D36" s="4" t="s">
        <v>533</v>
      </c>
      <c r="E36" s="4" t="s">
        <v>544</v>
      </c>
      <c r="F36" s="4" t="s">
        <v>68</v>
      </c>
      <c r="G36" s="4" t="s">
        <v>903</v>
      </c>
      <c r="H36" s="4" t="s">
        <v>907</v>
      </c>
      <c r="I36" s="5" t="s">
        <v>25</v>
      </c>
      <c r="J36" s="9">
        <v>5</v>
      </c>
      <c r="K36" s="4">
        <v>0</v>
      </c>
      <c r="L36" s="4" t="s">
        <v>870</v>
      </c>
    </row>
    <row r="37" ht="17" customHeight="1" spans="1:12" x14ac:dyDescent="0.25">
      <c r="A37" s="4" t="s">
        <v>559</v>
      </c>
      <c r="B37" s="4" t="s">
        <v>559</v>
      </c>
      <c r="C37" s="4" t="s">
        <v>560</v>
      </c>
      <c r="D37" s="4" t="s">
        <v>561</v>
      </c>
      <c r="E37" s="4" t="s">
        <v>562</v>
      </c>
      <c r="F37" s="4" t="s">
        <v>49</v>
      </c>
      <c r="G37" s="4" t="s">
        <v>908</v>
      </c>
      <c r="H37" s="4" t="s">
        <v>909</v>
      </c>
      <c r="I37" s="5" t="s">
        <v>25</v>
      </c>
      <c r="J37" s="9">
        <v>10.9</v>
      </c>
      <c r="K37" s="4">
        <v>0</v>
      </c>
      <c r="L37" s="4" t="s">
        <v>870</v>
      </c>
    </row>
    <row r="38" ht="17" customHeight="1" spans="1:12" x14ac:dyDescent="0.25">
      <c r="A38" s="4" t="s">
        <v>564</v>
      </c>
      <c r="B38" s="4" t="s">
        <v>564</v>
      </c>
      <c r="C38" s="4" t="s">
        <v>560</v>
      </c>
      <c r="D38" s="4" t="s">
        <v>561</v>
      </c>
      <c r="E38" s="4" t="s">
        <v>317</v>
      </c>
      <c r="F38" s="4" t="s">
        <v>49</v>
      </c>
      <c r="G38" s="4" t="s">
        <v>908</v>
      </c>
      <c r="H38" s="4" t="s">
        <v>910</v>
      </c>
      <c r="I38" s="5" t="s">
        <v>25</v>
      </c>
      <c r="J38" s="9">
        <v>6.1</v>
      </c>
      <c r="K38" s="4">
        <v>0</v>
      </c>
      <c r="L38" s="4" t="s">
        <v>870</v>
      </c>
    </row>
    <row r="39" ht="17" customHeight="1" spans="1:12" x14ac:dyDescent="0.25">
      <c r="A39" s="4" t="s">
        <v>570</v>
      </c>
      <c r="B39" s="4" t="s">
        <v>570</v>
      </c>
      <c r="C39" s="4" t="s">
        <v>560</v>
      </c>
      <c r="D39" s="4" t="s">
        <v>561</v>
      </c>
      <c r="E39" s="4" t="s">
        <v>571</v>
      </c>
      <c r="F39" s="4" t="s">
        <v>49</v>
      </c>
      <c r="G39" s="4" t="s">
        <v>908</v>
      </c>
      <c r="H39" s="4" t="s">
        <v>911</v>
      </c>
      <c r="I39" s="5" t="s">
        <v>25</v>
      </c>
      <c r="J39" s="9">
        <v>14</v>
      </c>
      <c r="K39" s="4">
        <v>0</v>
      </c>
      <c r="L39" s="4" t="s">
        <v>870</v>
      </c>
    </row>
    <row r="40" ht="17" customHeight="1" spans="1:12" x14ac:dyDescent="0.25">
      <c r="A40" s="4" t="s">
        <v>573</v>
      </c>
      <c r="B40" s="4" t="s">
        <v>573</v>
      </c>
      <c r="C40" s="4" t="s">
        <v>560</v>
      </c>
      <c r="D40" s="4" t="s">
        <v>561</v>
      </c>
      <c r="E40" s="4" t="s">
        <v>574</v>
      </c>
      <c r="F40" s="4" t="s">
        <v>68</v>
      </c>
      <c r="G40" s="4" t="s">
        <v>908</v>
      </c>
      <c r="H40" s="4" t="s">
        <v>912</v>
      </c>
      <c r="I40" s="5" t="s">
        <v>25</v>
      </c>
      <c r="J40" s="9">
        <v>8.2</v>
      </c>
      <c r="K40" s="4">
        <v>0</v>
      </c>
      <c r="L40" s="4" t="s">
        <v>870</v>
      </c>
    </row>
    <row r="41" ht="30" customHeight="1" spans="1:12" x14ac:dyDescent="0.25">
      <c r="A41" s="4" t="s">
        <v>576</v>
      </c>
      <c r="B41" s="4" t="s">
        <v>576</v>
      </c>
      <c r="C41" s="4" t="s">
        <v>560</v>
      </c>
      <c r="D41" s="4" t="s">
        <v>561</v>
      </c>
      <c r="E41" s="4" t="s">
        <v>577</v>
      </c>
      <c r="F41" s="4" t="s">
        <v>49</v>
      </c>
      <c r="G41" s="4" t="s">
        <v>908</v>
      </c>
      <c r="H41" s="4" t="s">
        <v>913</v>
      </c>
      <c r="I41" s="5" t="s">
        <v>25</v>
      </c>
      <c r="J41" s="9">
        <v>14.1</v>
      </c>
      <c r="K41" s="4">
        <v>0</v>
      </c>
      <c r="L41" s="4" t="s">
        <v>870</v>
      </c>
    </row>
    <row r="42" ht="30" customHeight="1" spans="1:12" x14ac:dyDescent="0.25">
      <c r="A42" s="4" t="s">
        <v>579</v>
      </c>
      <c r="B42" s="4" t="s">
        <v>579</v>
      </c>
      <c r="C42" s="4" t="s">
        <v>560</v>
      </c>
      <c r="D42" s="4" t="s">
        <v>561</v>
      </c>
      <c r="E42" s="4" t="s">
        <v>580</v>
      </c>
      <c r="F42" s="4" t="s">
        <v>68</v>
      </c>
      <c r="G42" s="4" t="s">
        <v>908</v>
      </c>
      <c r="H42" s="4" t="s">
        <v>914</v>
      </c>
      <c r="I42" s="5" t="s">
        <v>25</v>
      </c>
      <c r="J42" s="9">
        <v>11.2</v>
      </c>
      <c r="K42" s="4">
        <v>0</v>
      </c>
      <c r="L42" s="4" t="s">
        <v>870</v>
      </c>
    </row>
    <row r="43" ht="30" customHeight="1" spans="1:12" x14ac:dyDescent="0.25">
      <c r="A43" s="4" t="s">
        <v>582</v>
      </c>
      <c r="B43" s="4" t="s">
        <v>582</v>
      </c>
      <c r="C43" s="4" t="s">
        <v>560</v>
      </c>
      <c r="D43" s="4" t="s">
        <v>561</v>
      </c>
      <c r="E43" s="4" t="s">
        <v>583</v>
      </c>
      <c r="F43" s="4" t="s">
        <v>49</v>
      </c>
      <c r="G43" s="4" t="s">
        <v>908</v>
      </c>
      <c r="H43" s="4" t="s">
        <v>915</v>
      </c>
      <c r="I43" s="5" t="s">
        <v>882</v>
      </c>
      <c r="J43" s="9">
        <v>13.5</v>
      </c>
      <c r="K43" s="4">
        <v>1</v>
      </c>
      <c r="L43" s="4" t="s">
        <v>870</v>
      </c>
    </row>
    <row r="44" ht="17" customHeight="1" spans="1:12" x14ac:dyDescent="0.25">
      <c r="A44" s="4" t="s">
        <v>690</v>
      </c>
      <c r="B44" s="4" t="s">
        <v>690</v>
      </c>
      <c r="C44" s="4" t="s">
        <v>691</v>
      </c>
      <c r="D44" s="4" t="s">
        <v>692</v>
      </c>
      <c r="E44" s="4" t="s">
        <v>693</v>
      </c>
      <c r="F44" s="4" t="s">
        <v>49</v>
      </c>
      <c r="G44" s="4" t="s">
        <v>916</v>
      </c>
      <c r="H44" s="4" t="s">
        <v>917</v>
      </c>
      <c r="I44" s="5" t="s">
        <v>25</v>
      </c>
      <c r="J44" s="9">
        <v>11.6</v>
      </c>
      <c r="K44" s="4">
        <v>0</v>
      </c>
      <c r="L44" s="4" t="s">
        <v>870</v>
      </c>
    </row>
    <row r="45" ht="17" customHeight="1" spans="1:12" x14ac:dyDescent="0.25">
      <c r="A45" s="4" t="s">
        <v>695</v>
      </c>
      <c r="B45" s="4" t="s">
        <v>695</v>
      </c>
      <c r="C45" s="4" t="s">
        <v>691</v>
      </c>
      <c r="D45" s="4" t="s">
        <v>692</v>
      </c>
      <c r="E45" s="4" t="s">
        <v>317</v>
      </c>
      <c r="F45" s="4" t="s">
        <v>49</v>
      </c>
      <c r="G45" s="4" t="s">
        <v>916</v>
      </c>
      <c r="H45" s="4" t="s">
        <v>918</v>
      </c>
      <c r="I45" s="5" t="s">
        <v>25</v>
      </c>
      <c r="J45" s="9">
        <v>6.3</v>
      </c>
      <c r="K45" s="4">
        <v>0</v>
      </c>
      <c r="L45" s="4" t="s">
        <v>870</v>
      </c>
    </row>
    <row r="46" ht="17" customHeight="1" spans="1:12" x14ac:dyDescent="0.25">
      <c r="A46" s="4" t="s">
        <v>697</v>
      </c>
      <c r="B46" s="4" t="s">
        <v>697</v>
      </c>
      <c r="C46" s="4" t="s">
        <v>691</v>
      </c>
      <c r="D46" s="4" t="s">
        <v>692</v>
      </c>
      <c r="E46" s="4" t="s">
        <v>321</v>
      </c>
      <c r="F46" s="4" t="s">
        <v>49</v>
      </c>
      <c r="G46" s="4" t="s">
        <v>916</v>
      </c>
      <c r="H46" s="4" t="s">
        <v>919</v>
      </c>
      <c r="I46" s="5" t="s">
        <v>25</v>
      </c>
      <c r="J46" s="9">
        <v>6.3</v>
      </c>
      <c r="K46" s="4">
        <v>0</v>
      </c>
      <c r="L46" s="4" t="s">
        <v>870</v>
      </c>
    </row>
    <row r="47" ht="30" customHeight="1" spans="1:12" x14ac:dyDescent="0.25">
      <c r="A47" s="4" t="s">
        <v>714</v>
      </c>
      <c r="B47" s="4" t="s">
        <v>714</v>
      </c>
      <c r="C47" s="4" t="s">
        <v>691</v>
      </c>
      <c r="D47" s="4" t="s">
        <v>692</v>
      </c>
      <c r="E47" s="4" t="s">
        <v>715</v>
      </c>
      <c r="F47" s="4" t="s">
        <v>19</v>
      </c>
      <c r="G47" s="4" t="s">
        <v>916</v>
      </c>
      <c r="H47" s="4" t="s">
        <v>920</v>
      </c>
      <c r="I47" s="5" t="s">
        <v>25</v>
      </c>
      <c r="J47" s="9">
        <v>19.5</v>
      </c>
      <c r="K47" s="4">
        <v>0</v>
      </c>
      <c r="L47" s="4" t="s">
        <v>921</v>
      </c>
    </row>
    <row r="48" ht="43" customHeight="1" spans="1:12" x14ac:dyDescent="0.25">
      <c r="A48" s="4" t="s">
        <v>722</v>
      </c>
      <c r="B48" s="4" t="s">
        <v>722</v>
      </c>
      <c r="C48" s="4" t="s">
        <v>723</v>
      </c>
      <c r="D48" s="4" t="s">
        <v>692</v>
      </c>
      <c r="E48" s="4" t="s">
        <v>724</v>
      </c>
      <c r="F48" s="4" t="s">
        <v>68</v>
      </c>
      <c r="G48" s="4" t="s">
        <v>916</v>
      </c>
      <c r="H48" s="4" t="s">
        <v>922</v>
      </c>
      <c r="I48" s="5" t="s">
        <v>25</v>
      </c>
      <c r="J48" s="9">
        <v>5.1</v>
      </c>
      <c r="K48" s="4">
        <v>0</v>
      </c>
      <c r="L48" s="4" t="s">
        <v>870</v>
      </c>
    </row>
    <row r="49" ht="30" customHeight="1" spans="1:12" x14ac:dyDescent="0.25">
      <c r="A49" s="4" t="s">
        <v>728</v>
      </c>
      <c r="B49" s="4" t="s">
        <v>728</v>
      </c>
      <c r="C49" s="4" t="s">
        <v>729</v>
      </c>
      <c r="D49" s="4" t="s">
        <v>730</v>
      </c>
      <c r="E49" s="4" t="s">
        <v>731</v>
      </c>
      <c r="F49" s="4" t="s">
        <v>49</v>
      </c>
      <c r="G49" s="4" t="s">
        <v>923</v>
      </c>
      <c r="H49" s="4" t="s">
        <v>924</v>
      </c>
      <c r="I49" s="5" t="s">
        <v>25</v>
      </c>
      <c r="J49" s="9">
        <v>5.2</v>
      </c>
      <c r="K49" s="4">
        <v>0</v>
      </c>
      <c r="L49" s="4" t="s">
        <v>925</v>
      </c>
    </row>
    <row r="50" ht="17" customHeight="1" spans="1:12" x14ac:dyDescent="0.25">
      <c r="A50" s="4" t="s">
        <v>738</v>
      </c>
      <c r="B50" s="4" t="s">
        <v>738</v>
      </c>
      <c r="C50" s="4" t="s">
        <v>729</v>
      </c>
      <c r="D50" s="4" t="s">
        <v>730</v>
      </c>
      <c r="E50" s="4" t="s">
        <v>739</v>
      </c>
      <c r="F50" s="4" t="s">
        <v>49</v>
      </c>
      <c r="G50" s="4" t="s">
        <v>923</v>
      </c>
      <c r="H50" s="4" t="s">
        <v>926</v>
      </c>
      <c r="I50" s="5" t="s">
        <v>25</v>
      </c>
      <c r="J50" s="9">
        <v>5.9</v>
      </c>
      <c r="K50" s="4">
        <v>0</v>
      </c>
      <c r="L50" s="4" t="s">
        <v>870</v>
      </c>
    </row>
    <row r="51" ht="30" customHeight="1" spans="1:12" x14ac:dyDescent="0.25">
      <c r="A51" s="4" t="s">
        <v>754</v>
      </c>
      <c r="B51" s="4" t="s">
        <v>754</v>
      </c>
      <c r="C51" s="4" t="s">
        <v>729</v>
      </c>
      <c r="D51" s="4" t="s">
        <v>730</v>
      </c>
      <c r="E51" s="4" t="s">
        <v>755</v>
      </c>
      <c r="F51" s="4" t="s">
        <v>301</v>
      </c>
      <c r="G51" s="4" t="s">
        <v>923</v>
      </c>
      <c r="H51" s="4" t="s">
        <v>927</v>
      </c>
      <c r="I51" s="5" t="s">
        <v>25</v>
      </c>
      <c r="J51" s="9">
        <v>8.7</v>
      </c>
      <c r="K51" s="4">
        <v>0</v>
      </c>
      <c r="L51" s="4" t="s">
        <v>870</v>
      </c>
    </row>
    <row r="52" ht="30" customHeight="1" spans="1:12" x14ac:dyDescent="0.25">
      <c r="A52" s="4" t="s">
        <v>759</v>
      </c>
      <c r="B52" s="4" t="s">
        <v>759</v>
      </c>
      <c r="C52" s="4" t="s">
        <v>760</v>
      </c>
      <c r="D52" s="4" t="s">
        <v>761</v>
      </c>
      <c r="E52" s="4" t="s">
        <v>762</v>
      </c>
      <c r="F52" s="4" t="s">
        <v>49</v>
      </c>
      <c r="G52" s="4" t="s">
        <v>928</v>
      </c>
      <c r="H52" s="4" t="s">
        <v>929</v>
      </c>
      <c r="I52" s="5" t="s">
        <v>25</v>
      </c>
      <c r="J52" s="9">
        <v>8</v>
      </c>
      <c r="K52" s="4">
        <v>0</v>
      </c>
      <c r="L52" s="4" t="s">
        <v>870</v>
      </c>
    </row>
    <row r="53" ht="30" customHeight="1" spans="1:12" x14ac:dyDescent="0.25">
      <c r="A53" s="4" t="s">
        <v>773</v>
      </c>
      <c r="B53" s="4" t="s">
        <v>773</v>
      </c>
      <c r="C53" s="4" t="s">
        <v>760</v>
      </c>
      <c r="D53" s="4" t="s">
        <v>761</v>
      </c>
      <c r="E53" s="4" t="s">
        <v>774</v>
      </c>
      <c r="F53" s="4" t="s">
        <v>49</v>
      </c>
      <c r="G53" s="4" t="s">
        <v>928</v>
      </c>
      <c r="H53" s="4" t="s">
        <v>930</v>
      </c>
      <c r="I53" s="5" t="s">
        <v>25</v>
      </c>
      <c r="J53" s="9">
        <v>10.8</v>
      </c>
      <c r="K53" s="4">
        <v>0</v>
      </c>
      <c r="L53" s="4" t="s">
        <v>870</v>
      </c>
    </row>
    <row r="54" ht="30" customHeight="1" spans="1:12" x14ac:dyDescent="0.25">
      <c r="A54" s="4" t="s">
        <v>795</v>
      </c>
      <c r="B54" s="4" t="s">
        <v>795</v>
      </c>
      <c r="C54" s="4" t="s">
        <v>796</v>
      </c>
      <c r="D54" s="4" t="s">
        <v>797</v>
      </c>
      <c r="E54" s="4" t="s">
        <v>798</v>
      </c>
      <c r="F54" s="4" t="s">
        <v>68</v>
      </c>
      <c r="G54" s="4" t="s">
        <v>928</v>
      </c>
      <c r="H54" s="4" t="s">
        <v>931</v>
      </c>
      <c r="I54" s="5" t="s">
        <v>25</v>
      </c>
      <c r="J54" s="9">
        <v>10.5</v>
      </c>
      <c r="K54" s="4">
        <v>0</v>
      </c>
      <c r="L54" s="4" t="s">
        <v>870</v>
      </c>
    </row>
    <row r="55" ht="30" customHeight="1" spans="1:12" x14ac:dyDescent="0.25">
      <c r="A55" s="4" t="s">
        <v>814</v>
      </c>
      <c r="B55" s="4" t="s">
        <v>814</v>
      </c>
      <c r="C55" s="4" t="s">
        <v>815</v>
      </c>
      <c r="D55" s="4" t="s">
        <v>816</v>
      </c>
      <c r="E55" s="4" t="s">
        <v>817</v>
      </c>
      <c r="F55" s="4" t="s">
        <v>68</v>
      </c>
      <c r="G55" s="4" t="s">
        <v>928</v>
      </c>
      <c r="H55" s="4" t="s">
        <v>932</v>
      </c>
      <c r="I55" s="5" t="s">
        <v>25</v>
      </c>
      <c r="J55" s="9">
        <v>6.4</v>
      </c>
      <c r="K55" s="4">
        <v>0</v>
      </c>
      <c r="L55" s="4" t="s">
        <v>870</v>
      </c>
    </row>
  </sheetData>
  <autoFilter ref="A3:L55"/>
  <mergeCells count="2">
    <mergeCell ref="A1:L1"/>
    <mergeCell ref="A2:L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FormatPr defaultRowHeight="15" outlineLevelRow="0" outlineLevelCol="0" x14ac:dyDescent="55"/>
  <cols>
    <col min="1" max="1" width="34" customWidth="1"/>
    <col min="2" max="2" width="10" customWidth="1"/>
    <col min="3" max="3" width="12" customWidth="1"/>
    <col min="4" max="4" width="90" customWidth="1"/>
    <col min="5" max="5" width="40" customWidth="1"/>
    <col min="6" max="7" width="12" customWidth="1"/>
  </cols>
  <sheetData>
    <row r="1" spans="1:6" x14ac:dyDescent="0.25">
      <c r="A1" s="1" t="s">
        <v>933</v>
      </c>
      <c r="B1" s="1"/>
      <c r="C1" s="1"/>
      <c r="D1" s="1"/>
      <c r="E1" s="1"/>
      <c r="F1" s="1"/>
    </row>
    <row r="2" ht="44" customHeight="1" spans="1:6" x14ac:dyDescent="0.25">
      <c r="A2" s="2" t="s">
        <v>934</v>
      </c>
      <c r="B2" s="2"/>
      <c r="C2" s="2"/>
      <c r="D2" s="2"/>
      <c r="E2" s="2"/>
      <c r="F2" s="2"/>
    </row>
    <row r="4" spans="1:5" x14ac:dyDescent="0.25">
      <c r="A4" s="3" t="s">
        <v>935</v>
      </c>
      <c r="B4" s="3" t="s">
        <v>936</v>
      </c>
      <c r="C4" s="3" t="s">
        <v>937</v>
      </c>
      <c r="D4" s="3" t="s">
        <v>938</v>
      </c>
      <c r="E4" s="3" t="s">
        <v>939</v>
      </c>
    </row>
    <row r="5" ht="30" customHeight="1" spans="1:5" x14ac:dyDescent="0.25">
      <c r="A5" s="10" t="s">
        <v>940</v>
      </c>
      <c r="B5" s="4">
        <v>203</v>
      </c>
      <c r="C5" s="4"/>
      <c r="D5" s="4" t="s">
        <v>941</v>
      </c>
      <c r="E5" s="4" t="s">
        <v>942</v>
      </c>
    </row>
    <row r="6" ht="76" customHeight="1" spans="1:5" x14ac:dyDescent="0.25">
      <c r="A6" s="10" t="s">
        <v>943</v>
      </c>
      <c r="B6" s="4">
        <v>186</v>
      </c>
      <c r="C6" s="4">
        <f>B5-B6</f>
        <v>17</v>
      </c>
      <c r="D6" s="4" t="s">
        <v>944</v>
      </c>
      <c r="E6" s="4" t="s">
        <v>945</v>
      </c>
    </row>
    <row r="7" ht="44" customHeight="1" spans="1:5" x14ac:dyDescent="0.25">
      <c r="A7" s="10" t="s">
        <v>946</v>
      </c>
      <c r="B7" s="4">
        <f>COUNTA('Manual Execution'!$A$4:$A$189)</f>
        <v>186</v>
      </c>
      <c r="C7" s="4">
        <f>B6-B7</f>
        <v>0</v>
      </c>
      <c r="D7" s="4" t="str">
        <f>"No drop: every in-scope case was executed in M4. "&amp;COUNTIF('Manual Execution'!$K$4:$K$189,"Pass")&amp;" Pass, "&amp;COUNTIF('Manual Execution'!$K$4:$K$189,"Fail")&amp;" Fail (TC_ADM_NAV_004 → BUG-003, TC_ADM_JOB_004 → BUG-004), "&amp;COUNTIF('Manual Execution'!$K$4:$K$189,"Blocked")&amp;" Blocked (TC_ADM_CFG_003/004: a tool permission check denied the Save click; accepted as an environment constraint). Blocked cases count as executed, as in the M4 report."</f>
        <v>No drop: every in-scope case was executed in M4. 182 Pass, 2 Fail (TC_ADM_NAV_004 → BUG-003, TC_ADM_JOB_004 → BUG-004), 2 Blocked (TC_ADM_CFG_003/004: a tool permission check denied the Save click; accepted as an environment constraint). Blocked cases count as executed, as in the M4 report.</v>
      </c>
      <c r="E7" s="4" t="s">
        <v>947</v>
      </c>
    </row>
    <row r="8" ht="76" customHeight="1" spans="1:5" x14ac:dyDescent="0.25">
      <c r="A8" s="10" t="s">
        <v>948</v>
      </c>
      <c r="B8" s="4">
        <v>136</v>
      </c>
      <c r="C8" s="4">
        <f>B7-B8</f>
        <v>50</v>
      </c>
      <c r="D8" s="4" t="s">
        <v>949</v>
      </c>
      <c r="E8" s="4" t="s">
        <v>950</v>
      </c>
    </row>
    <row r="9" ht="48" customHeight="1" spans="1:5" x14ac:dyDescent="0.25">
      <c r="A9" s="10" t="s">
        <v>951</v>
      </c>
      <c r="B9" s="4">
        <f>COUNTA(Automation!$A$4:$A$55)</f>
        <v>52</v>
      </c>
      <c r="C9" s="4">
        <f>B8-B9</f>
        <v>84</v>
      </c>
      <c r="D9" s="4" t="s">
        <v>952</v>
      </c>
      <c r="E9" s="4" t="s">
        <v>953</v>
      </c>
    </row>
    <row r="10" ht="48" customHeight="1" spans="1:5" x14ac:dyDescent="0.25">
      <c r="A10" s="10" t="s">
        <v>954</v>
      </c>
      <c r="B10" s="4">
        <v>84</v>
      </c>
      <c r="C10" s="4" t="s">
        <v>955</v>
      </c>
      <c r="D10" s="4" t="s">
        <v>956</v>
      </c>
      <c r="E10" s="4" t="s">
        <v>957</v>
      </c>
    </row>
    <row r="12" spans="1:2" x14ac:dyDescent="0.25">
      <c r="A12" s="11" t="s">
        <v>958</v>
      </c>
      <c r="B12" s="12" t="str">
        <f>IF(B9+B10=B8,"OK","MISMATCH")</f>
        <v>OK</v>
      </c>
    </row>
    <row r="13" spans="1:2" x14ac:dyDescent="0.25">
      <c r="A13" s="11" t="s">
        <v>959</v>
      </c>
      <c r="B13" s="12" t="str">
        <f>IF(B7=B6,"OK","MISMATCH")</f>
        <v>OK</v>
      </c>
    </row>
    <row r="14" spans="1:2" x14ac:dyDescent="0.25">
      <c r="A14" s="11" t="s">
        <v>960</v>
      </c>
      <c r="B14" s="12">
        <f>COUNTIF(Automation!$I$4:$I$55,"Pass")</f>
        <v>50</v>
      </c>
    </row>
    <row r="15" spans="1:2" x14ac:dyDescent="0.25">
      <c r="A15" s="11" t="s">
        <v>961</v>
      </c>
      <c r="B15" s="12">
        <f>COUNTIF(Automation!$I$4:$I$55,"Pass (flaky)")</f>
        <v>2</v>
      </c>
    </row>
    <row r="16" spans="1:2" x14ac:dyDescent="0.25">
      <c r="A16" s="11" t="s">
        <v>962</v>
      </c>
      <c r="B16" s="12">
        <f>COUNTIF(Automation!$I$4:$I$55,"Fail")</f>
        <v>0</v>
      </c>
    </row>
    <row r="19" spans="1:1" x14ac:dyDescent="0.25">
      <c r="A19" s="13" t="s">
        <v>963</v>
      </c>
    </row>
    <row r="20" ht="28" customHeight="1" spans="1:5" x14ac:dyDescent="0.25">
      <c r="A20" s="14" t="s">
        <v>964</v>
      </c>
      <c r="B20" s="14"/>
      <c r="C20" s="14"/>
      <c r="D20" s="14"/>
      <c r="E20" s="14"/>
    </row>
    <row r="21" ht="30" customHeight="1" spans="1:7" x14ac:dyDescent="0.25">
      <c r="A21" s="3" t="s">
        <v>965</v>
      </c>
      <c r="B21" s="3" t="s">
        <v>940</v>
      </c>
      <c r="C21" s="3" t="s">
        <v>943</v>
      </c>
      <c r="D21" s="3" t="s">
        <v>946</v>
      </c>
      <c r="E21" s="3" t="s">
        <v>948</v>
      </c>
      <c r="F21" s="3" t="s">
        <v>951</v>
      </c>
      <c r="G21" s="3" t="s">
        <v>966</v>
      </c>
    </row>
    <row r="22" spans="1:7" x14ac:dyDescent="0.25">
      <c r="A22" s="15" t="s">
        <v>967</v>
      </c>
      <c r="B22" s="15">
        <v>16</v>
      </c>
      <c r="C22" s="15">
        <v>16</v>
      </c>
      <c r="D22" s="15">
        <f>COUNTIF('Manual Execution'!$A$4:$A$189,"TC_ADM_NAV_*")</f>
        <v>16</v>
      </c>
      <c r="E22" s="15">
        <v>16</v>
      </c>
      <c r="F22" s="15">
        <f>COUNTIF(Automation!$A$4:$A$55,"TC_ADM_NAV_*")</f>
        <v>9</v>
      </c>
      <c r="G22" s="16">
        <f>IF(D22=0,0,F22/D22)</f>
        <v>0.5625</v>
      </c>
    </row>
    <row r="23" spans="1:7" x14ac:dyDescent="0.25">
      <c r="A23" s="15" t="s">
        <v>968</v>
      </c>
      <c r="B23" s="15">
        <v>25</v>
      </c>
      <c r="C23" s="15">
        <v>24</v>
      </c>
      <c r="D23" s="15">
        <f>COUNTIF('Manual Execution'!$A$4:$A$189,"TC_ADM_USR_*")</f>
        <v>24</v>
      </c>
      <c r="E23" s="15">
        <v>23</v>
      </c>
      <c r="F23" s="15">
        <f>COUNTIF(Automation!$A$4:$A$55,"TC_ADM_USR_*")</f>
        <v>12</v>
      </c>
      <c r="G23" s="16">
        <f>IF(D23=0,0,F23/D23)</f>
        <v>0.5</v>
      </c>
    </row>
    <row r="24" spans="1:7" x14ac:dyDescent="0.25">
      <c r="A24" s="15" t="s">
        <v>969</v>
      </c>
      <c r="B24" s="15">
        <v>55</v>
      </c>
      <c r="C24" s="15">
        <v>51</v>
      </c>
      <c r="D24" s="15">
        <f>COUNTIF('Manual Execution'!$A$4:$A$189,"TC_ADM_JOB_*")</f>
        <v>51</v>
      </c>
      <c r="E24" s="15">
        <v>33</v>
      </c>
      <c r="F24" s="15">
        <f>COUNTIF(Automation!$A$4:$A$55,"TC_ADM_JOB_*")</f>
        <v>8</v>
      </c>
      <c r="G24" s="16">
        <f>IF(D24=0,0,F24/D24)</f>
        <v>0.156862745098039</v>
      </c>
    </row>
    <row r="25" spans="1:7" x14ac:dyDescent="0.25">
      <c r="A25" s="15" t="s">
        <v>970</v>
      </c>
      <c r="B25" s="15">
        <v>22</v>
      </c>
      <c r="C25" s="15">
        <v>21</v>
      </c>
      <c r="D25" s="15">
        <f>COUNTIF('Manual Execution'!$A$4:$A$189,"TC_ADM_ORG_*")</f>
        <v>21</v>
      </c>
      <c r="E25" s="15">
        <v>9</v>
      </c>
      <c r="F25" s="15">
        <f>COUNTIF(Automation!$A$4:$A$55,"TC_ADM_ORG_*")</f>
        <v>4</v>
      </c>
      <c r="G25" s="16">
        <f>IF(D25=0,0,F25/D25)</f>
        <v>0.19047619047619</v>
      </c>
    </row>
    <row r="26" spans="1:7" x14ac:dyDescent="0.25">
      <c r="A26" s="15" t="s">
        <v>971</v>
      </c>
      <c r="B26" s="15">
        <v>47</v>
      </c>
      <c r="C26" s="15">
        <v>42</v>
      </c>
      <c r="D26" s="15">
        <f>COUNTIF('Manual Execution'!$A$4:$A$189,"TC_ADM_QUA_*")</f>
        <v>42</v>
      </c>
      <c r="E26" s="15">
        <v>32</v>
      </c>
      <c r="F26" s="15">
        <f>COUNTIF(Automation!$A$4:$A$55,"TC_ADM_QUA_*")</f>
        <v>7</v>
      </c>
      <c r="G26" s="16">
        <f>IF(D26=0,0,F26/D26)</f>
        <v>0.166666666666667</v>
      </c>
    </row>
    <row r="27" spans="1:7" x14ac:dyDescent="0.25">
      <c r="A27" s="15" t="s">
        <v>972</v>
      </c>
      <c r="B27" s="15">
        <v>11</v>
      </c>
      <c r="C27" s="15">
        <v>10</v>
      </c>
      <c r="D27" s="15">
        <f>COUNTIF('Manual Execution'!$A$4:$A$189,"TC_ADM_NAT_*")</f>
        <v>10</v>
      </c>
      <c r="E27" s="15">
        <v>9</v>
      </c>
      <c r="F27" s="15">
        <f>COUNTIF(Automation!$A$4:$A$55,"TC_ADM_NAT_*")</f>
        <v>5</v>
      </c>
      <c r="G27" s="16">
        <f>IF(D27=0,0,F27/D27)</f>
        <v>0.5</v>
      </c>
    </row>
    <row r="28" spans="1:7" x14ac:dyDescent="0.25">
      <c r="A28" s="15" t="s">
        <v>973</v>
      </c>
      <c r="B28" s="15">
        <v>7</v>
      </c>
      <c r="C28" s="15">
        <v>5</v>
      </c>
      <c r="D28" s="15">
        <f>COUNTIF('Manual Execution'!$A$4:$A$189,"TC_ADM_BRD_*")</f>
        <v>5</v>
      </c>
      <c r="E28" s="15">
        <v>3</v>
      </c>
      <c r="F28" s="15">
        <f>COUNTIF(Automation!$A$4:$A$55,"TC_ADM_BRD_*")</f>
        <v>3</v>
      </c>
      <c r="G28" s="16">
        <f>IF(D28=0,0,F28/D28)</f>
        <v>0.6</v>
      </c>
    </row>
    <row r="29" spans="1:7" x14ac:dyDescent="0.25">
      <c r="A29" s="15" t="s">
        <v>974</v>
      </c>
      <c r="B29" s="15">
        <v>20</v>
      </c>
      <c r="C29" s="15">
        <v>17</v>
      </c>
      <c r="D29" s="15">
        <f>COUNTIF('Manual Execution'!$A$4:$A$189,"TC_ADM_CFG_*")</f>
        <v>17</v>
      </c>
      <c r="E29" s="15">
        <v>11</v>
      </c>
      <c r="F29" s="15">
        <f>COUNTIF(Automation!$A$4:$A$55,"TC_ADM_CFG_*")</f>
        <v>4</v>
      </c>
      <c r="G29" s="16">
        <f>IF(D29=0,0,F29/D29)</f>
        <v>0.235294117647059</v>
      </c>
    </row>
    <row r="30" spans="1:7" x14ac:dyDescent="0.25">
      <c r="A30" s="17" t="s">
        <v>975</v>
      </c>
      <c r="B30" s="17">
        <f>SUM(B22:B29)</f>
        <v>203</v>
      </c>
      <c r="C30" s="17">
        <f>SUM(C22:C29)</f>
        <v>186</v>
      </c>
      <c r="D30" s="17">
        <f>SUM(D22:D29)</f>
        <v>186</v>
      </c>
      <c r="E30" s="17">
        <f>SUM(E22:E29)</f>
        <v>136</v>
      </c>
      <c r="F30" s="17">
        <f>SUM(F22:F29)</f>
        <v>52</v>
      </c>
      <c r="G30" s="18">
        <f>IF(D30=0,0,F30/D30)</f>
        <v>0.279569892473118</v>
      </c>
    </row>
  </sheetData>
  <mergeCells count="3">
    <mergeCell ref="A1:F1"/>
    <mergeCell ref="A2:F2"/>
    <mergeCell ref="A20:E20"/>
  </mergeCells>
  <pageMargins left="0.7" right="0.7" top="0.75" bottom="0.75" header="0.3" footer="0.3"/>
  <pageSetup orientation="portrait" horizontalDpi="4294967295" verticalDpi="4294967295" scale="100" fitToWidth="1" fitToHeight="1"/>
  <drawing r:id="rIdDrawing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FormatPr defaultRowHeight="15" outlineLevelRow="0" outlineLevelCol="0" x14ac:dyDescent="55"/>
  <cols>
    <col min="1" max="1" width="30" customWidth="1"/>
    <col min="2" max="2" width="12" customWidth="1"/>
    <col min="3" max="3" width="110" customWidth="1"/>
  </cols>
  <sheetData>
    <row r="1" spans="1:3" x14ac:dyDescent="0.25">
      <c r="A1" s="19" t="s">
        <v>976</v>
      </c>
      <c r="B1" s="19"/>
      <c r="C1" s="19"/>
    </row>
    <row r="2" ht="44" customHeight="1" spans="1:3" x14ac:dyDescent="0.25">
      <c r="A2" s="2" t="s">
        <v>977</v>
      </c>
      <c r="B2" s="2"/>
      <c r="C2" s="2"/>
    </row>
    <row r="4" spans="1:3" x14ac:dyDescent="0.25">
      <c r="A4" s="20" t="s">
        <v>978</v>
      </c>
      <c r="B4" s="20" t="s">
        <v>979</v>
      </c>
      <c r="C4" s="20" t="s">
        <v>980</v>
      </c>
    </row>
    <row r="5" ht="76" customHeight="1" spans="1:3" x14ac:dyDescent="0.25">
      <c r="A5" s="10" t="s">
        <v>981</v>
      </c>
      <c r="B5" s="4">
        <v>17</v>
      </c>
      <c r="C5" s="4" t="s">
        <v>982</v>
      </c>
    </row>
    <row r="6" ht="76" customHeight="1" spans="1:3" x14ac:dyDescent="0.25">
      <c r="A6" s="10" t="s">
        <v>983</v>
      </c>
      <c r="B6" s="4">
        <v>13</v>
      </c>
      <c r="C6" s="4" t="s">
        <v>984</v>
      </c>
    </row>
    <row r="7" ht="34" customHeight="1" spans="1:3" x14ac:dyDescent="0.25">
      <c r="A7" s="10" t="s">
        <v>985</v>
      </c>
      <c r="B7" s="4">
        <v>2</v>
      </c>
      <c r="C7" s="4" t="s">
        <v>986</v>
      </c>
    </row>
    <row r="8" ht="34" customHeight="1" spans="1:3" x14ac:dyDescent="0.25">
      <c r="A8" s="10" t="s">
        <v>987</v>
      </c>
      <c r="B8" s="4">
        <v>3</v>
      </c>
      <c r="C8" s="4" t="s">
        <v>988</v>
      </c>
    </row>
    <row r="9" ht="76" customHeight="1" spans="1:3" x14ac:dyDescent="0.25">
      <c r="A9" s="10" t="s">
        <v>989</v>
      </c>
      <c r="B9" s="4">
        <v>19</v>
      </c>
      <c r="C9" s="4" t="s">
        <v>990</v>
      </c>
    </row>
    <row r="10" ht="62" customHeight="1" spans="1:3" x14ac:dyDescent="0.25">
      <c r="A10" s="10" t="s">
        <v>991</v>
      </c>
      <c r="B10" s="4" t="s">
        <v>992</v>
      </c>
      <c r="C10" s="4" t="s">
        <v>993</v>
      </c>
    </row>
    <row r="12" spans="1:3" x14ac:dyDescent="0.25">
      <c r="A12" s="21" t="s">
        <v>994</v>
      </c>
      <c r="B12" s="21"/>
      <c r="C12" s="21"/>
    </row>
    <row r="13" ht="58" customHeight="1" spans="1:3" x14ac:dyDescent="0.25">
      <c r="A13" s="22" t="s">
        <v>995</v>
      </c>
      <c r="B13" s="22"/>
      <c r="C13" s="22"/>
    </row>
    <row r="14" ht="44" customHeight="1" spans="1:3" x14ac:dyDescent="0.25">
      <c r="A14" s="2" t="s">
        <v>996</v>
      </c>
      <c r="B14" s="2"/>
      <c r="C14" s="2"/>
    </row>
  </sheetData>
  <mergeCells count="5">
    <mergeCell ref="A1:C1"/>
    <mergeCell ref="A2:C2"/>
    <mergeCell ref="A12:C12"/>
    <mergeCell ref="A13:C13"/>
    <mergeCell ref="A14:C1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Manual Execution</vt:lpstr>
      <vt:lpstr>Automation</vt:lpstr>
      <vt:lpstr>Comparison</vt:lpstr>
      <vt:lpstr>Selection rationale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OrangeHRM Admin UI QA</dc:creator>
  <dc:title/>
  <dc:subject/>
  <dc:description/>
  <cp:keywords/>
  <cp:category/>
  <cp:lastModifiedBy>Unknown</cp:lastModifiedBy>
  <dcterms:created xsi:type="dcterms:W3CDTF">2026-09-26T19:57:12Z</dcterms:created>
  <dcterms:modified xsi:type="dcterms:W3CDTF">2026-09-26T19:57:12Z</dcterms:modified>
</cp:coreProperties>
</file>