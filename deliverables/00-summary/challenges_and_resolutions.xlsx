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llenges" state="visible" r:id="rId4"/>
    <sheet sheetId="2" name="Defect-driven test cases" state="visible" r:id="rId5"/>
    <sheet sheetId="3" name="Healing log" state="visible" r:id="rId6"/>
    <sheet sheetId="4" name="Lessons" state="visible" r:id="rId7"/>
  </sheets>
  <calcPr calcId="171027" fullCalcOnLoad="1"/>
</workbook>
</file>

<file path=xl/sharedStrings.xml><?xml version="1.0" encoding="utf-8"?>
<sst xmlns="http://schemas.openxmlformats.org/spreadsheetml/2006/main" count="807" uniqueCount="690">
  <si>
    <t>Challenges and resolutions — OrangeHRM Admin UI QA cycle (M1–M5 and post-G5)</t>
  </si>
  <si>
    <t>Written by the project lead, as a record of a project I directed: the decisions, diagnoses and outcomes, not a claim of hand-written code. Every row cites the artifact it comes from (file, commit or HEAL id). Where the record is incomplete, the row says so. Categories: Wrong assumption · Product defect · Automation instability · Tooling/environment · Process/pipeline · Capacity.</t>
  </si>
  <si>
    <t>ID</t>
  </si>
  <si>
    <t>Milestone</t>
  </si>
  <si>
    <t>Category</t>
  </si>
  <si>
    <t>What happened</t>
  </si>
  <si>
    <t>Why it mattered</t>
  </si>
  <si>
    <t>How it was diagnosed</t>
  </si>
  <si>
    <t>How it was resolved</t>
  </si>
  <si>
    <t>Evidence (file/commit/HEAL id)</t>
  </si>
  <si>
    <t>What it changed permanently</t>
  </si>
  <si>
    <t>CH-01</t>
  </si>
  <si>
    <t>M2</t>
  </si>
  <si>
    <t>Wrong assumption</t>
  </si>
  <si>
    <t>The PRD's acceptance criteria for US-01-06 asserted that the password "alllowercase1" would be rejected with a "missing an upper-case letter" message, and that the minimum length was 8. On build 5.9, exploration found that password rated "Strong" with no message at all. The build enforces only two rules: "Should have at least 7 characters" and "Your password must contain minimum 1 number". There is no upper-case requirement.</t>
  </si>
  <si>
    <t>This is the clearest case in the project of the source-of-truth spec assuming something the product does not do. Carried into M3, every password-policy case for that story would have asserted a message that never appears: a permanently failing test that encodes a requirement the product does not have, and that someone would eventually "fix" by weakening.</t>
  </si>
  <si>
    <t>Manual exploration entered three probe passwords and recorded the strength label and message for each verbatim: "abc" (Very Weak, "Should have at least 7 characters"), "alllowercase1" (Strong, no message), "Password" (Very Weak, "Your password must contain minimum 1 number").</t>
  </si>
  <si>
    <t>I required the correction to be made in the PRD before test design began. The US-01-06 Gherkin was rewritten with the exact observed wording (7 characters, not 8). The invented upper-case scenario was removed and replaced with one asserting that no such requirement exists.</t>
  </si>
  <si>
    <t>exploration.md §2.1 and §4 (FIND-002); prd.md §13.1 row "§10.1 US-01-06"; TC_ADM_USR_009 asserts the verbatim "Should have at least 7 characters".</t>
  </si>
  <si>
    <t>Established the rule the rest of the project ran on: no expected result enters test design until it has been observed on the live build (Constitution Article V, observation before assertion).</t>
  </si>
  <si>
    <t>CH-02</t>
  </si>
  <si>
    <t>The PRD's Actor × Module Access Matrix treated HR Manager, Line Manager, Recruiter and Auditor as possibly distinct roles, marked TO CONFIRM (OQ-01).</t>
  </si>
  <si>
    <t>The access matrix is only as accurate as the real role model; test cases per role would have been written for roles that cannot be assigned.</t>
  </si>
  <si>
    <t>Exploration opened Admin &gt; User Management &gt; Users and read the actual User Role options.</t>
  </si>
  <si>
    <t>The PRD now states the confirmed fact: only "Admin" and "ESS" exist as selectable roles on this build. The TO CONFIRM marker was removed.</t>
  </si>
  <si>
    <t>prd.md §13 OQ-01 (RESOLVED M2); prd.md §13.1 row "§5 Actor × Module Access Matrix note".</t>
  </si>
  <si>
    <t>Role-dependent cases are written only for the two roles that exist.</t>
  </si>
  <si>
    <t>CH-03</t>
  </si>
  <si>
    <t>The PRD's "known behavioural uncertainties" paragraph in §8.1 carried four open questions as unknowns: overnight Work Shifts (OQ-02), deleting an in-use Nationality (OQ-03), Corporate Branding upload limits (OQ-04) and SMTP field validation (OQ-05).</t>
  </si>
  <si>
    <t>Four areas of the Admin module had no verified expected behaviour to test against.</t>
  </si>
  <si>
    <t>Each was exercised manually in M2 and the result recorded verbatim in exploration.md.</t>
  </si>
  <si>
    <t>The four-item uncertainty list was replaced with the four resolved facts, each with its verbatim observed message and a pointer to exploration.md. OQ-05 resolved as FIND-006: Host, User and Password are conditionally required as expected, but Port has no format validation at all.</t>
  </si>
  <si>
    <t>prd.md §13.1 row "§8.1 Known behavioural uncertainties paragraph"; prd.md §13 OQ-02 to OQ-05.</t>
  </si>
  <si>
    <t>Admin has no open behavioural questions left in the PRD; every remaining TO CONFIRM marker belongs to a module outside this cycle (prd.md §13 preamble, added 2026-09-26).</t>
  </si>
  <si>
    <t>CH-04</t>
  </si>
  <si>
    <t>The PRD's Work Shift business-rule bullet said an overnight shift (e.g. 18:00–09:00) "raises the overnight-shift question addressed as an open item below".</t>
  </si>
  <si>
    <t>A business rule stated as an open question cannot be tested.</t>
  </si>
  <si>
    <t>Exploration created an overnight shift and recorded the result: rejected with "To time should be after from time", Duration forced to 0.00, Save blocked.</t>
  </si>
  <si>
    <t>The bullet now states the confirmed fact: overnight shifts are rejected outright.</t>
  </si>
  <si>
    <t>prd.md §13.1 row "§8.1 Work Shift bullet"; prd.md §13 OQ-02.</t>
  </si>
  <si>
    <t>See CH-05 for the acceptance criterion this also changed.</t>
  </si>
  <si>
    <t>CH-05</t>
  </si>
  <si>
    <t>The US-02-05 overnight Work Shift scenario was written as an observation scenario, because the outcome was unknown when the PRD was written.</t>
  </si>
  <si>
    <t>An observation scenario cannot become an asserting test until the behaviour is verified (Constitution V.2).</t>
  </si>
  <si>
    <t>Same M2 observation as CH-04.</t>
  </si>
  <si>
    <t>Converted to an asserted scenario stating the exact rejection message, the computed 0.00 duration and the blocked Save.</t>
  </si>
  <si>
    <t>prd.md §13.1 row "§10.1 US-02-05"; TC_ADM_JOB_049 (Wave 1) automates it.</t>
  </si>
  <si>
    <t>This is the pattern for converting observation scenarios: only after exploration, with the verbatim wording.</t>
  </si>
  <si>
    <t>CH-06</t>
  </si>
  <si>
    <t>Product defect</t>
  </si>
  <si>
    <t>The US-05-01 scenario for deleting a Nationality that an employee uses was an observation scenario (OQ-03). Exploration found the delete neither blocked nor warned: it succeeds with the generic dialog and silently resets the employee's Nationality to "-- Select --".</t>
  </si>
  <si>
    <t>The PRD's business rule BR-11 says the delete should be blocked or its effect on dependents stated. The product violates it.</t>
  </si>
  <si>
    <t>Reproduced on 2 independent nationality/employee pairings in M2 (2/2), and again in M4 via TC_ADM_NAT_010.</t>
  </si>
  <si>
    <t>Filed as BUG-001 (High). The scenario was converted to assert the product's actual behaviour, annotated KNOWN DEFECT: BUG-001, rather than written as if the BR-11 behaviour were what the product does.</t>
  </si>
  <si>
    <t>exploration.md §5 BUG-001; prd.md §13.1 row "§10.1 US-05-01"; TC_ADM_NAT_010.</t>
  </si>
  <si>
    <t>Known defects are asserted as actual behaviour and labelled, so the test fails, and forces review, the day the bug is fixed. See the Defect-driven test cases sheet for a caveat about the rule this cites.</t>
  </si>
  <si>
    <t>CH-07</t>
  </si>
  <si>
    <t>The US-06-01 scenario asserted that uploading an unsupported file type to Corporate Branding shows "a file-type validation error". No such message exists on this build: a 14-byte .txt file produced "Attachment Size Exceeded", and the console showed the real cause, "The source image cannot be decoded."</t>
  </si>
  <si>
    <t>The original assertion could never have passed against the real product.</t>
  </si>
  <si>
    <t>Reproduced in M2 (1/1) with the browser console open.</t>
  </si>
  <si>
    <t>Filed as BUG-002 (Low-Medium). The scenario was corrected to assert the actual (wrong) message and annotated KNOWN DEFECT: BUG-002. The symptom later changed again (CH-20).</t>
  </si>
  <si>
    <t>exploration.md §5 BUG-002; prd.md §13.1 row "§10.1 US-06-01".</t>
  </si>
  <si>
    <t>Same rule as CH-06.</t>
  </si>
  <si>
    <t>CH-08</t>
  </si>
  <si>
    <t>M2 (resolved post-G5)</t>
  </si>
  <si>
    <t>The PRD listed 7 Configuration screens. The live build has 8: an undocumented LDAP Configuration screen with its own multi-section form and a data-corruption warning (FIND-005). Its two test cases traced to the finding id instead of a user story.</t>
  </si>
  <si>
    <t>A finding id in the Story_ID column breaks any automated traceability check, and the screen had no specification at all.</t>
  </si>
  <si>
    <t>M2 walked the Configuration submenu and counted 8 items. The traceability gap was confirmed by the /coverage reverse matrix, which listed TC_ADM_CFG_018/019 as the only 2 orphans.</t>
  </si>
  <si>
    <t>On 2026-09-26 I had the screen specified as Tier 1 story US-07-08 in prd.md (v2.2) and spec.md, written only from what exploration recorded. Anything M2 did not record is marked "not recorded". Both rows now point at US-07-08 with FIND-005 kept as provenance.</t>
  </si>
  <si>
    <t>exploration.md §2.7 and §4 FIND-005; commit 23c3cd9; test_design_coverage.md §3 (0 orphans).</t>
  </si>
  <si>
    <t>Story count 33 → 34. A test case must trace to a story; a finding id is provenance, not a story.</t>
  </si>
  <si>
    <t>CH-09</t>
  </si>
  <si>
    <t>Gate G2</t>
  </si>
  <si>
    <t>Process/pipeline</t>
  </si>
  <si>
    <t>The repository contained two conflicting pipelines: the stock SpecKit scaffolding (4 milestones, root-level pages/tests/utils, stock commands) and the project's own (5 milestones, src/ layout, four custom commands).</t>
  </si>
  <si>
    <t>Every downstream artifact had to follow one model. Left unresolved, the gate definitions, directory layout and constitution would have contradicted CLAUDE.md.</t>
  </si>
  <si>
    <t>The conflict was surfaced during the Gate G2 checks, which audited each command file (ours vs. stock) and the pre-existing scaffold before M3.</t>
  </si>
  <si>
    <t>I ruled that CLAUDE.md wins. tasks.md was rewritten to the five-milestone model with gates G1–G5, and the constitution was reconciled to v1.1 as a MINOR amendment with no rule weakened. I asked for the pre-existing scaffold to be reported before anything was deleted.</t>
  </si>
  <si>
    <t>prompts_used.md #20 (2026-09-23, "Ruling: CLAUDE.md wins"); constitution.md Changelog v1.1 and Article IV.4.</t>
  </si>
  <si>
    <t>CLAUDE.md is authoritative over scaffolding. The root-level pages/utils tree is no longer in the repository (checked 2026-09-26); the exact date it was retired is not recorded in the files reviewed for this workbook.</t>
  </si>
  <si>
    <t>CH-10</t>
  </si>
  <si>
    <t>M4</t>
  </si>
  <si>
    <t>The first M4 attempt ran two execution batches concurrently. They collided on the single shared Playwright browser; one batch was killed in the middle of a delete confirmation, and the session limit hit before any damage check.</t>
  </si>
  <si>
    <t>Results from a contaminated browser could not be trusted, and an interrupted delete on a shared public demo could have removed a record we did not create.</t>
  </si>
  <si>
    <t>The collision was evident from the aborted state. An Open Question raised during that attempt (OQ-B1-1) concerned trusting a single "pre-contamination" observation.</t>
  </si>
  <si>
    <t>I declared M4 not started, required a damage check before any test case, and ruled strictly sequential execution — one agent, one browser, no concurrency — for the rest of M4 and all of M5. The NAV+USR results were re-executed in a clean sequential restart, and OQ-B1-1 was retired as superseded. The damage-check result for that specific aborted attempt is not separately written up in the M4 log; the next entry records a clean check after a later interruption (CH-14).</t>
  </si>
  <si>
    <t>prompts_used.md #29 (2026-09-23, "Strictly sequential. One agent, one browser"); 04-execution/PROGRESS.md 2026-09-23 20:20 entry (OQ-B1-1 note).</t>
  </si>
  <si>
    <t>"Strictly sequential, one browser" became a standing rule, repeated in every later execution brief.</t>
  </si>
  <si>
    <t>CH-11</t>
  </si>
  <si>
    <t>M4–M5</t>
  </si>
  <si>
    <t>Tooling/environment</t>
  </si>
  <si>
    <t>Another real user was active on the shared demo during execution ("manda user", whose displayed name later changed to "mandaa Brooks"). Unrelated third-party records appeared (2 extra Job Titles rows) and list counts moved on their own.</t>
  </si>
  <si>
    <t>Any assertion on shared data, or on a count, could fail for reasons unrelated to the product or the test.</t>
  </si>
  <si>
    <t>Seen directly: exploration logged list composition changing with no action from us (FLAKE-001) and stray tree nodes (FLAKE-002). M4's damage check counted third-party rows, and M5 recorded the display-name drift.</t>
  </si>
  <si>
    <t>I ruled: never assert on a record not created in that same case; if a failure could be concurrent mutation, retry once and log it as flakiness rather than raise a bug; record the third-party activity as an environment note. In automation, every test creates uniquely suffixed e2e_ data, and the profile menu is located by its stable accessible name "profile picture", never by the displayed employee name.</t>
  </si>
  <si>
    <t>prompts_used.md #29 ("Concurrent users"); 04-execution/PROGRESS.md 2026-09-23 20:20; 05-automation/PROGRESS.md (display-name drift); exploration.md §7 FLAKE-001/002; src/pages/base/BasePage.ts comment.</t>
  </si>
  <si>
    <t>Assert only on data the test created; never locate by data another user can change.</t>
  </si>
  <si>
    <t>CH-12</t>
  </si>
  <si>
    <t>M5</t>
  </si>
  <si>
    <t>A periodic data reset of the shared demo happened mid-session: the System Users list dropped from 60 to 7 records.</t>
  </si>
  <si>
    <t>Confirmed the CLAUDE.md warning that seeded or earlier-created records cannot be relied on.</t>
  </si>
  <si>
    <t>Observed live while building the User Management tests.</t>
  </si>
  <si>
    <t>No change to the design was needed, because tests already created their own data. e2e_ orphans left by earlier failed runs were deleted through the corrected delete flow once confirmed live.</t>
  </si>
  <si>
    <t>05-automation/PROGRESS.md, USR screen entry (2026-09-24), "Also observed".</t>
  </si>
  <si>
    <t>Reinforced self-contained data and per-test cleanup (Constitution VI.1).</t>
  </si>
  <si>
    <t>CH-13</t>
  </si>
  <si>
    <t>TC_ADM_CFG_003 and CFG_004 could not be completed manually: the execution harness's permission check denied the click on Email Configuration's Save button ("Modify Shared Resources"), even for a blank or invalid submission.</t>
  </si>
  <si>
    <t>Two in-scope cases could not produce a result, and routing around the denial would have meant working against a safety control on a shared public instance.</t>
  </si>
  <si>
    <t>The executing batch stopped and logged it as a stop-condition hit needing a human decision, not as a product defect or a scope decision.</t>
  </si>
  <si>
    <t>I ruled: accept both as permanently Blocked for this cycle, seek no permission escalation, and record the reason as an environment constraint (Save on a global-config screen could persist broken state on a shared instance; FIND-006 shows Port has no format validation). Not a coverage gap. "Never route around a tool-level denial in this project." CFG_003 was later automated in M5 as an ordinary Playwright test, which that manual-click control does not apply to. CFG_004 remains unautomated.</t>
  </si>
  <si>
    <t>prompts_used.md #33 (2026-09-24, "Ruling on CFG_003/004"); 04-execution/PROGRESS.md 2026-09-24 11:36; agent_execution_report.html (2 Blocked); tests/admin/cfg.spec.ts (TC_ADM_CFG_003).</t>
  </si>
  <si>
    <t>A tool-level denial is a decision point for a human, never something to work around.</t>
  </si>
  <si>
    <t>CH-14</t>
  </si>
  <si>
    <t>Capacity</t>
  </si>
  <si>
    <t>A session rate limit cut off the JOB execution batch at 32 of 51 cases.</t>
  </si>
  <si>
    <t>Execution state and the shared demo's data were both uncertain at the moment of the cut.</t>
  </si>
  <si>
    <t>On restart, the state was reconciled from the result file before resuming, and every screen the batch had touched was re-visited.</t>
  </si>
  <si>
    <t>The damage check found no non-owned record missing and no leftover e2e_ data. Execution resumed from TC_ADM_JOB_036.</t>
  </si>
  <si>
    <t>04-execution/PROGRESS.md 2026-09-23 20:20 entry.</t>
  </si>
  <si>
    <t>Reconcile state from disk and damage-check before resuming after any interruption.</t>
  </si>
  <si>
    <t>CH-15</t>
  </si>
  <si>
    <t>The Corporate Branding + Configuration batch was killed by a rate limit after several minutes, and unlike the JOB batch it had written no results file and no log entry.</t>
  </si>
  <si>
    <t>None of its work met the evidence standard (verbatim observation, explicit result per case), and it had been working on screens with global blast radius.</t>
  </si>
  <si>
    <t>A damage check verified live, not by assumption, that branding was never published and that Email Configuration was still on Sendmail (read from the radio inputs' checked state, because the visible fields were misleading).</t>
  </si>
  <si>
    <t>All 22 cases were treated as not executed and the batch relaunched from TC_ADM_BRD_001. One finding from the lost session (BUG-002's changed symptom) was carried forward only after being independently re-verified live.</t>
  </si>
  <si>
    <t>04-execution/PROGRESS.md 2026-09-24 11:00 and 11:36 entries.</t>
  </si>
  <si>
    <t>Work that is not documented to the evidence standard does not count, however far it got.</t>
  </si>
  <si>
    <t>CH-16</t>
  </si>
  <si>
    <t>M3 → M5</t>
  </si>
  <si>
    <t>test_design.csv had 136 cases marked "needs automation = Yes". A full run at workers: 2 takes roughly 40–60 minutes, and Gate G5 requires 3 consecutive green runs after every healing cycle.</t>
  </si>
  <si>
    <t>That arithmetic did not close within one cycle. Building all 136 would have meant either missing the gate or cutting corners on verification.</t>
  </si>
  <si>
    <t>Worked out from the run time, the worker cap (Constitution VI.2) and the G5 verification bar.</t>
  </si>
  <si>
    <t>We sequenced the 136 into two waves without descoping anything: Wave 1 (47 cases) built this cycle, Wave 2 (89) scheduled. Every case stayed "Yes" with an Automation_ID; the automation_wave column records only when a case is built. After the P0 promotion (CH-33) the split is 52 / 84.</t>
  </si>
  <si>
    <t>test_design_coverage.md "Execution sequencing (Wave 1 / Wave 2)"; implementation_summary.xlsx "Decisions &amp; Deviations".</t>
  </si>
  <si>
    <t>Capacity decisions sequence work; they never silently reclassify it.</t>
  </si>
  <si>
    <t>CH-17</t>
  </si>
  <si>
    <t>Logging in as "ADMIN" (upper case) with the correct password authenticated as the "Admin" account. TC_ADM_NAV_004 expected "Invalid credentials".</t>
  </si>
  <si>
    <t>Username matching is case-insensitive, contrary to the specified behaviour.</t>
  </si>
  <si>
    <t>Failed in the M4 batch and independently re-executed live by the orchestrating session.</t>
  </si>
  <si>
    <t>Filed as BUG-003 (Medium). Initially left in Wave 2; after the Priority Model marked it P0 it was automated, asserting the actual behaviour as a known-defect guard (CH-33).</t>
  </si>
  <si>
    <t>exploration.md §5 BUG-003; agent_execution_report.html; tests/admin/nav.spec.ts TC_ADM_NAV_004; commit c81f972.</t>
  </si>
  <si>
    <t>A confirmed P0 defect must have an automated regression guard.</t>
  </si>
  <si>
    <t>CH-18</t>
  </si>
  <si>
    <t>BUG-002's symptom changed between M2 and M4: uploading a .txt file to Corporate Branding went from showing the wrong message ("Attachment Size Exceeded") to showing no message at all. The console error was unchanged.</t>
  </si>
  <si>
    <t>A test written from the M2 wording would now fail, and an unchanged root cause with a new symptom is neither a fix nor a new bug.</t>
  </si>
  <si>
    <t>Re-verified twice in M4 (orchestrator plus formal TC_ADM_BRD_001) and a third time in M5.</t>
  </si>
  <si>
    <t>BUG-002 was updated rather than duplicated. TC_ADM_BRD_001's Expected_Result now states the current actual behaviour, and the automated test asserts it.</t>
  </si>
  <si>
    <t>exploration.md §5 BUG-002 (M4 and M5 updates); test_design.csv TC_ADM_BRD_001; tests/admin/brd.spec.ts.</t>
  </si>
  <si>
    <t>Known-defect assertions track the current symptom, re-verified each milestone.</t>
  </si>
  <si>
    <t>CH-19</t>
  </si>
  <si>
    <t>Job Titles accepted a 51-character value with no truncation or error, while three sibling screens on the same component enforce a 50-character cap with "Should not exceed 50 characters".</t>
  </si>
  <si>
    <t>TC_ADM_JOB_004 failed against its Expected_Result.</t>
  </si>
  <si>
    <t>One reproduction; the contrast with three sibling screens isolated Job Titles as the outlier.</t>
  </si>
  <si>
    <t>Filed as BUG-004 (Low). The case stays "needs automation = No" and is not automated.</t>
  </si>
  <si>
    <t>exploration.md §5 BUG-004; agent_execution_report.html (TC_ADM_JOB_004 Fail).</t>
  </si>
  <si>
    <t>—</t>
  </si>
  <si>
    <t>CH-20</t>
  </si>
  <si>
    <t>Two defects surfaced during cases whose own assertions passed: a Job Title's internal id changing after "Delete Current" on its attachment, stranding the old edit URL with a 404 (BUG-005, during TC_ADM_JOB_013), and Email Configuration showing SMTP-only fields while "Sendmail" was selected after in-app navigation (BUG-006, during TC_ADM_CFG_001, reproduced 2 of 4 attempts).</t>
  </si>
  <si>
    <t>Marking those cases Fail would misreport what their assertions checked; ignoring the defects would hide them.</t>
  </si>
  <si>
    <t>Each was logged at the moment of discovery with its own reproduction count.</t>
  </si>
  <si>
    <t>I had each case keep its honest Pass and each defect filed separately (BUG-005 Low, BUG-006 Medium, intermittent). At G4 I required a one-line statement per bug of which case covers it and what result it got, with no result changed to fit.</t>
  </si>
  <si>
    <t>exploration.md §5 BUG-005/006; agent_execution_report.html bug cards; prompts_used.md #33 item 1.</t>
  </si>
  <si>
    <t>A pass reports what was asserted; a defect found on the way is filed, not folded into the result.</t>
  </si>
  <si>
    <t>CH-21</t>
  </si>
  <si>
    <t>TC_ADM_USR_018 (edit a user's role) expected the toast "Successfully Saved". The edit flow actually shows "Successfully Updated"; "Saved" is the Add flow's wording.</t>
  </si>
  <si>
    <t>The test would have asserted a string this flow never produces.</t>
  </si>
  <si>
    <t>Read live from the toast while building the test.</t>
  </si>
  <si>
    <t>The test asserts the verbatim "Successfully Updated", and the CSV's Expected_Result was corrected to distinguish the two toasts.</t>
  </si>
  <si>
    <t>05-automation/PROGRESS.md USR entry, finding 8; test_design.csv TC_ADM_USR_018 ("live-observed 2026-09-25").</t>
  </si>
  <si>
    <t>Toast wording is per flow; never reuse one flow's observed wording for another.</t>
  </si>
  <si>
    <t>CH-22</t>
  </si>
  <si>
    <t>The User Management Username search was assumed to be a contains-match. It is exact-match only: searching a true prefix of a live username returned "No Records Found".</t>
  </si>
  <si>
    <t>The original bulk-delete design for TC_ADM_USR_022 filtered by a shared prefix to show two new users at once, and could not work.</t>
  </si>
  <si>
    <t>Tested directly against a live username and its prefix.</t>
  </si>
  <si>
    <t>The test was redesigned to find the two users on the unfiltered, alphabetically sorted list, and to confirm each deletion by its own exact search instead of a total-count delta (which concurrent users could disturb). The CSV row was rewritten to match, and exploration.md's locator register gained an M5 note.</t>
  </si>
  <si>
    <t>05-automation/PROGRESS.md USR entry, finding 7; exploration.md §6 "M5 locator corrections"; test_design.csv TC_ADM_USR_022.</t>
  </si>
  <si>
    <t>Verify search semantics before designing a test around them.</t>
  </si>
  <si>
    <t>CH-23</t>
  </si>
  <si>
    <t>TC_ADM_ORG_006's Test_Data named only a Name for creating a Location. Country is also mandatory; without it Save is blocked with "Required" and no toast appears.</t>
  </si>
  <si>
    <t>The test stalled waiting for a toast that could never come.</t>
  </si>
  <si>
    <t>Diagnosed from a screenshot of the stalled save.</t>
  </si>
  <si>
    <t>LocationsPage.createLocation() now always selects a Country, and the CSV's Test_Data and Expected_Result were corrected. Logged as HEAL-016 (TEST_LOGIC).</t>
  </si>
  <si>
    <t>05-automation/PROGRESS.md ORG entry, finding 1; healing_process.md HEAL-016; test_design.csv TC_ADM_ORG_006.</t>
  </si>
  <si>
    <t>Mandatory fields come from the live form, not the spec's field list.</t>
  </si>
  <si>
    <t>CH-24</t>
  </si>
  <si>
    <t>TC_ADM_NAV_008 said the breadcrumb "reads Admin" after opening User Management. It is two segments: "Admin" / "User Management".</t>
  </si>
  <si>
    <t>A single-segment assertion would never pass.</t>
  </si>
  <si>
    <t>Read live from the banner headings.</t>
  </si>
  <si>
    <t>The test asserts the first segment is "Admin", which matches the case's intent, and the CSV now states the two-segment shape.</t>
  </si>
  <si>
    <t>05-automation/PROGRESS.md NAV entry, finding 2; test_design.csv TC_ADM_NAV_008.</t>
  </si>
  <si>
    <t>Interpret imprecise wording by intent, then correct the source.</t>
  </si>
  <si>
    <t>CH-25</t>
  </si>
  <si>
    <t>CLAUDE.md's own worked example for locating a field — filter the input group by its full text with an anchored ^Label$ — silently fails on dropdown fields, because the container's text runs the label into the trigger text ("User Role-- Select --"). Separately, several buttons' icons add a leading character to their accessible name (" Add", " Yes, Delete").</t>
  </si>
  <si>
    <t>Locators written exactly as the project rules prescribed would not have matched.</t>
  </si>
  <si>
    <t>Direct DOM and accessibility-snapshot inspection while building the components.</t>
  </si>
  <si>
    <t>The field factory scopes by the &lt;label&gt; element itself, and the affected buttons are matched without assuming a clean name. Recorded as M5 corrections to exploration.md's locator register.</t>
  </si>
  <si>
    <t>exploration.md §6 "M5 locator corrections"; healing_process.md HEAL-005, HEAL-008.</t>
  </si>
  <si>
    <t>Even the project's own authoritative guidance is verified against the live DOM before it is relied on.</t>
  </si>
  <si>
    <t>CH-26</t>
  </si>
  <si>
    <t>M5 Phase 3</t>
  </si>
  <si>
    <t>Automation instability</t>
  </si>
  <si>
    <t>In the second of three official full-suite runs, TC_ADM_USR_002 failed once and passed on retry.</t>
  </si>
  <si>
    <t>A pass that needs a retry is a healing candidate, not a pass (CLAUDE.md §5.3).</t>
  </si>
  <si>
    <t>Reproduced 3 times in isolation, all clean. The failing run showed a uniform slowdown across unrelated screens, and the failed call was a first, fresh-data save.</t>
  </si>
  <si>
    <t>Classified ENV_INSTABILITY. No code change and no quarantine: workers were already at the minimum, and the test reproduces cleanly under normal load.</t>
  </si>
  <si>
    <t>healing_process.md HEAL-022; 05-automation/PROGRESS.md 2026-09-25 02:30 entry.</t>
  </si>
  <si>
    <t>An environmental flake is recorded, not patched with code that would only mask it.</t>
  </si>
  <si>
    <t>CH-27</t>
  </si>
  <si>
    <t>Post-G5</t>
  </si>
  <si>
    <t>Both GitHub Actions runs were green, but reading the raw JSON artifact showed 3 tests (USR_013, USR_018, USR_024) had each failed once and passed on retry on a CI runner. None had ever flaked locally.</t>
  </si>
  <si>
    <t>A real gap hidden behind a green badge, and only visible on CI hardware.</t>
  </si>
  <si>
    <t>The raw errors showed empty cell text and an empty action-icon array on rows that were otherwise present. That pointed at OxdTable.waitForListRendered(): it confirmed the record-count header was visible, but not that the row contents had finished populating.</t>
  </si>
  <si>
    <t>Fixed at the component layer: after the header appears, the wait also polls the first row's cell text. Logged as HEAL-023/024/025 (TIMING). Verified with 3 consecutive local runs and a full suite run. CI re-confirmation was stated as pending at the time; a later CI run confirming it is not recorded in the files reviewed for this workbook.</t>
  </si>
  <si>
    <t>final_review.md finding M2; healing_process.md HEAL-023 to HEAL-025; commit 5fd5fa6.</t>
  </si>
  <si>
    <t>Read the raw results, not the badge. A visible list header does not prove the rows have rendered.</t>
  </si>
  <si>
    <t>CH-28</t>
  </si>
  <si>
    <t>The first version of that fix broke 3 other tests (USR_003, USR_020, USR_022), each timing out after 20 seconds inside the new code.</t>
  </si>
  <si>
    <t>A fix that looked correct for the tests it was written for was not safe for the suite.</t>
  </si>
  <si>
    <t>Caught only because the full-suite re-run after a fix is mandatory (heal.md §5). The fix checked "is the list empty?" once, outside its retry loop, so a search that legitimately returns no results polled for rows that would never appear.</t>
  </si>
  <si>
    <t>The empty-state check was moved inside the retried predicate, re-evaluated every attempt. Logged honestly as a separate entry, HEAL-026 (TEST_LOGIC), rather than folded into HEAL-023–025.</t>
  </si>
  <si>
    <t>final_review.md finding M3; healing_process.md HEAL-026; commit 5fd5fa6.</t>
  </si>
  <si>
    <t>Every condition in a retried predicate is re-derived on every attempt. A fix is not verified until the whole suite has been re-run.</t>
  </si>
  <si>
    <t>CH-29</t>
  </si>
  <si>
    <t>Post-G5 (2026-09-26)</t>
  </si>
  <si>
    <t>In the full run with retained output, TC_ADM_QUA_010 and TC_ADM_USR_001 failed their first attempts back-to-back, both with "page.goto: Timeout 30000ms exceeded" in the shared page fixture, before any test code ran. Both screenshots show a blank page. Both passed on retry.</t>
  </si>
  <si>
    <t>Two retry-only passes in the run meant for the permanent record.</t>
  </si>
  <si>
    <t>Each reproduced 3/3 clean in isolation. The failures sit in one ~90-second window, and tests either side ran at normal speed.</t>
  </si>
  <si>
    <t>Classified ENV_INSTABILITY, logged as HEAL-028/029, no code change. I did not accept raising the navigation timeout: that is timeout inflation without a readiness signal.</t>
  </si>
  <si>
    <t>healing_process.md HEAL-028/029; deliverables/05-automation/runs/2026-09-26_full-suite/ (raw output and screenshots); commit 31e5275.</t>
  </si>
  <si>
    <t>If any single test gets a second ENV_INSTABILITY entry, stop and review its flow instead of recording again.</t>
  </si>
  <si>
    <t>CH-30</t>
  </si>
  <si>
    <t>M5 Phase 2</t>
  </si>
  <si>
    <t>Wave 1 was 47 cases but only 45 tests had been built. TC_ADM_JOB_023 (Pay Grades) and TC_ADM_JOB_049 (Work Shifts) were missing.</t>
  </si>
  <si>
    <t>Two committed Wave 1 cases would have shipped unautomated while the phase reported complete.</t>
  </si>
  <si>
    <t>My gap-accounting request prompted a full set difference between every TC_ID in the spec files and every Wave 1 row. The cause: an early per-screen query returned only the Job Titles rows, and its result was never checked against the master Wave 1 count.</t>
  </si>
  <si>
    <t>Both tests were built and the suite reached 47/47.</t>
  </si>
  <si>
    <t>05-automation/PROGRESS.md 2026-09-25 01:40 entry.</t>
  </si>
  <si>
    <t>Cross-check any derived subset against the master count before relying on it.</t>
  </si>
  <si>
    <t>CH-31</t>
  </si>
  <si>
    <t>The first /code-review found 1 Blocker (a hard waitForTimeout) and 8 Majors: raw oxd- selectors in page objects, expect() inside page objects, a positional .first()/.nth(), and a newly ambiguous profile-picture selector.</t>
  </si>
  <si>
    <t>Each is a direct violation of the project's POM and locator rules.</t>
  </si>
  <si>
    <t>The /code-review checklist.</t>
  </si>
  <si>
    <t>All Blockers and Majors were fixed and re-verified live. Verdict: APPROVED.</t>
  </si>
  <si>
    <t>code_review.md (2026-09-25); healing_process.md HEAL-020/021.</t>
  </si>
  <si>
    <t>See CH-34: this review later turned out to have missed three violation classes.</t>
  </si>
  <si>
    <t>CH-32</t>
  </si>
  <si>
    <t>When the Priority Model was written, 12 cases were promoted from P1 to P0. Checking them against automation_wave showed 5 still in Wave 2: TC_ADM_NAV_003, NAV_004 (the BUG-003 guard), USR_005, USR_006 and USR_007.</t>
  </si>
  <si>
    <t>A confirmed defect sat at P0 with no automated regression guard.</t>
  </si>
  <si>
    <t>A direct query of Priority against automation_wave in test_design.csv.</t>
  </si>
  <si>
    <t>All 5 were moved to Wave 1 and built the same day, 4 of them as parameter variants of existing tests with no new page-object code. I set the rule that every P0 case is Wave 1, unconditionally. The cascade was interrupted by a rate limit; on resuming, the state was checked on disk first and nothing already done was redone.</t>
  </si>
  <si>
    <t>test_design_coverage.md §8.4 and §8.5; commits ffa7526 and c81f972; 05-automation/PROGRESS.md 2026-09-26 entry.</t>
  </si>
  <si>
    <t>Every P0 case is Wave 1. Promoting a case to P0 includes automating it in the same change.</t>
  </si>
  <si>
    <t>CH-33</t>
  </si>
  <si>
    <t>Re-running /code-review in full found violation classes the first review had marked clean: 17 raw oxd- selectors in test files, 5 weak "toast text is not empty" assertions, 5 errors swallowed by .catch(() =&gt; false), and a row lookup that matched substrings and silenced strict mode with .first().</t>
  </si>
  <si>
    <t>Weak assertions pass on any wording; swallowed errors hide any failure; the substring lookup could let a check pass when an edit had wrongly been saved.</t>
  </si>
  <si>
    <t>The first review had searched page objects but not test files, judged .catch(() =&gt; false) harmless, and searched for toBeTruthy only. The re-review ran every checklist item as a search over all files.</t>
  </si>
  <si>
    <t>All fixed: new component methods, two PIM page objects, header-based column lookup, count-based presence checks, exact-cell row matching. Verdict: APPROVED WITH MINORS (3 Minors left open with stated conditions).</t>
  </si>
  <si>
    <t>code_review.md re-review section; commit 31e5275.</t>
  </si>
  <si>
    <t>Review rules are checked mechanically across every file, not by sampling.</t>
  </si>
  <si>
    <t>CH-34</t>
  </si>
  <si>
    <t>Five delete tests asserted only that the success toast was non-empty, because M2 had never recorded the delete-toast wording.</t>
  </si>
  <si>
    <t>There was no verbatim string to assert, so the weak assertion had been the only option.</t>
  </si>
  <si>
    <t>Observed live in one browser with self-created records: single delete, bulk delete of 2, and three other screens.</t>
  </si>
  <si>
    <t>Every flow shows title "Success" and message "Successfully Deleted"; bulk delete shows one identical, non-pluralised toast. Recorded in exploration.md as M5-sourced, asserted verbatim, and written into the 5 CSV Expected_Result cells.</t>
  </si>
  <si>
    <t>exploration.md Addendum A (with 3 screenshots); 05-automation/PROGRESS.md 2026-09-26 16:00 entry; commit 31e5275.</t>
  </si>
  <si>
    <t>When a verbatim string is missing, go and observe it; do not assert around the gap.</t>
  </si>
  <si>
    <t>CH-35</t>
  </si>
  <si>
    <t>Healing entry HEAL-027 was timestamped "2026-09-26 ~10:15 UTC", which matched no recorded run, and the report's run showed the flaky test passing first time.</t>
  </si>
  <si>
    <t>One entry whose timestamp fits nothing undermines trust in the whole healing log.</t>
  </si>
  <si>
    <t>I asked for the originating session's transcript, git history and progress entries to be searched. The transcript recorded the run's launch at 2026-09-25T21:52:04Z, and its raw output file had survived.</t>
  </si>
  <si>
    <t>The timestamp was corrected to 2026-09-25 21:52–22:02 UTC with both sources cited, and the raw output was committed. It had been a different run from the report's, which explained the discrepancy.</t>
  </si>
  <si>
    <t>healing_process.md HEAL-027 timestamp note; deliverables/05-automation/runs/2026-09-25T2152Z_full-suite_list.txt; commit 31e5275.</t>
  </si>
  <si>
    <t>Every official run now keeps its raw output on disk (runs/), so a log entry can always be traced to its run.</t>
  </si>
  <si>
    <t>CH-36</t>
  </si>
  <si>
    <t>At completion, several documents still described earlier states: stale plan and README text, cross-artifact figures that disagreed, and a README that never mentioned Wave 2.</t>
  </si>
  <si>
    <t>A reviewer reading one artifact would get different numbers from another.</t>
  </si>
  <si>
    <t>An outside-reviewer-style audit compared figures across artifacts and checked paths and evidence links in the HTML reports.</t>
  </si>
  <si>
    <t>Fixed in the final review; each later change (47 → 52 tests, 33 → 34 stories, 26 → 29 healing entries) was cascaded through every artifact that shows the figure, with historical records left as written.</t>
  </si>
  <si>
    <t>final_review.md findings M1 and M4; commits 5fd5fa6, c81f972, 23c3cd9.</t>
  </si>
  <si>
    <t>A changed figure is cascaded to every artifact in the same change; historical run records are never rewritten.</t>
  </si>
  <si>
    <t>CH-37</t>
  </si>
  <si>
    <t>Found while building this workbook</t>
  </si>
  <si>
    <t>Several artifacts justify asserting known-defect behaviour by citing "CLAUDE.md §6.4". CLAUDE.md has no §6.4. Its actual §5.4 says a test that must pass against a broken feature should be test.fixme()'d.</t>
  </si>
  <si>
    <t>The practice is deliberate and was directed by me, but the citation is wrong, and the practice sits in tension with the written rule it claims to follow.</t>
  </si>
  <si>
    <t>Searched all artifacts: 9 occurrences across 8 files (tasks.md, code_review.md, healing_process.md, 05-automation/PROGRESS.md, automation_execution_report.html, and three spec files). The practice itself traces to the M4 brief's Rule 3: "Cases carrying Linked_Bug assert actual buggy behaviour — they PASS if they behave as recorded."</t>
  </si>
  <si>
    <t>Not yet resolved. The citations have not been changed. Resolving it needs a decision: either amend CLAUDE.md/the constitution to state the known-defect-guard practice, or correct the citations to point at the M4 brief.</t>
  </si>
  <si>
    <t>prompts_used.md #29 Rule 3; CLAUDE.md §5.4; grep of "§6.4" across the repository (2026-09-26).</t>
  </si>
  <si>
    <t>Open. Recorded here rather than smoothed over.</t>
  </si>
  <si>
    <t>Rows by category</t>
  </si>
  <si>
    <t>Total</t>
  </si>
  <si>
    <t>Defect-driven test cases — cases that exist, or assert what they do, because of a product defect</t>
  </si>
  <si>
    <t>Only 3 rows in test_design.csv carry a Linked_Bug (TC_ADM_NAT_010, TC_ADM_BRD_001, TC_ADM_NAV_004). BUG-004 to BUG-006 are included for completeness from the bug register and the M4 report. Caveat on the rule: the project's artifacts cite "CLAUDE.md §6.4" for asserting actual defect behaviour. CLAUDE.md has no §6.4, and its §5.4 prescribes test.fixme() instead. The practice actually comes from the M4 brief's Rule 3 (prompts_used.md #29). See CH-37. Sources: exploration.md §5 Bug Register; agent_execution_report.html bug cards; test_design.csv; deliverables/05-automation/runs/2026-09-26_full-suite/.</t>
  </si>
  <si>
    <t>BUG id</t>
  </si>
  <si>
    <t>Severity</t>
  </si>
  <si>
    <t>TC_ID(s)</t>
  </si>
  <si>
    <t>What the product actually does</t>
  </si>
  <si>
    <t>What a naive test would have asserted</t>
  </si>
  <si>
    <t>Why we assert actual behaviour instead</t>
  </si>
  <si>
    <t>Is it automated</t>
  </si>
  <si>
    <t>BUG-001</t>
  </si>
  <si>
    <t>High</t>
  </si>
  <si>
    <t>TC_ADM_NAT_010 (P0, Wave 1)</t>
  </si>
  <si>
    <t>Deleting a Nationality that an employee uses succeeds with the same generic confirm dialog as any other delete, with no in-use warning. The employee's Nationality is silently reset to "-- Select --".</t>
  </si>
  <si>
    <t>That the delete is blocked, or that the dialog warns about the affected employee (business rule BR-11).</t>
  </si>
  <si>
    <t>The product does not do that, so the naive assertion fails forever and says nothing new. Asserting the actual behaviour, labelled KNOWN DEFECT, keeps the test green while the bug exists and makes it fail the day the bug is fixed, forcing a review.</t>
  </si>
  <si>
    <t>Yes — tests/admin/nat.spec.ts. Passing in the 2026-09-26 retained run.</t>
  </si>
  <si>
    <t>BUG-002</t>
  </si>
  <si>
    <t>Low-Medium</t>
  </si>
  <si>
    <t>TC_ADM_BRD_001 (P1, Wave 1)</t>
  </si>
  <si>
    <t>Uploading a non-image file (a 14-byte .txt) to Corporate Branding's Client Logo shows no error message at all; the field shows the filename as if accepted. The console logs "The source image cannot be decoded." (In M2 the same action showed the wrong message "Attachment Size Exceeded".)</t>
  </si>
  <si>
    <t>A file-type validation error (the PRD's original wording), or the M2-era "Attachment Size Exceeded".</t>
  </si>
  <si>
    <t>The first never existed and the second no longer appears; either would fail. The test asserts the current, re-verified symptom (M2 → M4 → M5).</t>
  </si>
  <si>
    <t>Yes — tests/admin/brd.spec.ts. Passing in the 2026-09-26 retained run.</t>
  </si>
  <si>
    <t>BUG-003</t>
  </si>
  <si>
    <t>Medium</t>
  </si>
  <si>
    <t>TC_ADM_NAV_004 (P0, Wave 1)</t>
  </si>
  <si>
    <t>Logging in as "ADMIN" with the correct password authenticates as the "Admin" account and opens the dashboard; no "Invalid credentials" alert.</t>
  </si>
  <si>
    <t>That the login is rejected with "Invalid credentials" (exact-match usernames).</t>
  </si>
  <si>
    <t>Same reasoning as BUG-001. The case was automated post-G5 once the Priority Model marked it P0 (every P0 case is Wave 1).</t>
  </si>
  <si>
    <t>Yes — tests/admin/nav.spec.ts. Passing in the 2026-09-26 retained run.</t>
  </si>
  <si>
    <t>BUG-004</t>
  </si>
  <si>
    <t>Low</t>
  </si>
  <si>
    <t>TC_ADM_JOB_004 (no Linked_Bug in the CSV)</t>
  </si>
  <si>
    <t>Job Titles accepts a 51-character value in full, with "Successfully Saved" and no truncation or error. Sibling screens enforce a 50-character cap.</t>
  </si>
  <si>
    <t>Truncation, or "Should not exceed 50 characters".</t>
  </si>
  <si>
    <t>Not applicable: the case is "needs automation = No", so no assertion was written. It failed in M4 manual execution and the defect is on file.</t>
  </si>
  <si>
    <t>No. Note: the CSV row does not carry BUG-004 in Linked_Bug; the link exists only in the bug register and the M4 report.</t>
  </si>
  <si>
    <t>BUG-005</t>
  </si>
  <si>
    <t>TC_ADM_JOB_013 (no Linked_Bug in the CSV)</t>
  </si>
  <si>
    <t>After "Delete Current" on a Job Title's attachment, the record's id changes (e.g. 78 → 79); the old edit URL returns a 404 and renders an empty form.</t>
  </si>
  <si>
    <t>Not applicable: TC_ADM_JOB_013 asserts that the attachment is removed, which held. The id change was found incidentally.</t>
  </si>
  <si>
    <t>Not applicable: no automated test covers it. The case is "needs automation = No".</t>
  </si>
  <si>
    <t>No. Found during a passing manual case; reproduced 1/1, not repeated to avoid churning shared data.</t>
  </si>
  <si>
    <t>BUG-006</t>
  </si>
  <si>
    <t>Medium (intermittent)</t>
  </si>
  <si>
    <t>TC_ADM_CFG_001 (no Linked_Bug in the CSV)</t>
  </si>
  <si>
    <t>After in-app navigation to Email Configuration, SMTP-only fields can render visible while "Sendmail" is the checked Sending Method. Reproduced 2 of 4 attempts.</t>
  </si>
  <si>
    <t>Not applicable: TC_ADM_CFG_001 asserts that choosing SMTP reveals the fields and Sendmail hides them, which held when exercised.</t>
  </si>
  <si>
    <t>The Wave 1 test for TC_ADM_CFG_001 asserts the case's own contract, not the desync. An intermittent, timing-dependent defect is not a deterministic assertion target.</t>
  </si>
  <si>
    <t>The case is automated (Wave 1); the defect itself is not asserted.</t>
  </si>
  <si>
    <t>Healing log — all 29 entries from healing_process.md</t>
  </si>
  <si>
    <t>Copied verbatim from deliverables/05-automation/healing_process.md (one entry per failure, in log order). "Diagnosis evidence" is the log's Root cause text after its class. Some early entries were caught before a test ever ran broken (self-review or /code-review); the log marks them as such in their Root cause text, e.g. "(pre-emptive)". The summary to the right counts classes with formulas and checks them against the log's own summary table.</t>
  </si>
  <si>
    <t>HEAL id</t>
  </si>
  <si>
    <t>Test</t>
  </si>
  <si>
    <t>Symptom</t>
  </si>
  <si>
    <t>Root cause class</t>
  </si>
  <si>
    <t>Diagnosis evidence</t>
  </si>
  <si>
    <t>Fix layer</t>
  </si>
  <si>
    <t>The change</t>
  </si>
  <si>
    <t>Verification</t>
  </si>
  <si>
    <t>Prevention rule added</t>
  </si>
  <si>
    <t>Entries (formula)</t>
  </si>
  <si>
    <t>HEAL ids</t>
  </si>
  <si>
    <t>healing_process.md summary table</t>
  </si>
  <si>
    <t>Match?</t>
  </si>
  <si>
    <t>HEAL-001</t>
  </si>
  <si>
    <t>Phase 1 smoke test (worker auth fixture → page fixture → assert sidebar visible)</t>
  </si>
  <si>
    <t>Post-login readiness wait times out intermittently on a cold load</t>
  </si>
  <si>
    <t>TIMING</t>
  </si>
  <si>
    <t>confirmed by direct re-check: the spinner count genuinely reaches 0, just later than 10s; not a stuck/broken spinner, not a locator error (spinner resolved correctly every time, only the timeout was too short for this specific multi-widget page)</t>
  </si>
  <si>
    <t>util (`src/utils/fieldFactory.ts`, `waitForIdle()`)</t>
  </si>
  <si>
    <t>`waitForIdle()` gained an explicit `timeoutMs` parameter, default raised 10,000ms → 20,000ms — still a conditional element-state assertion (spinner count 0), never a blind sleep; the *timeout* on an existing correct wait was escalated, not the wait replaced with one</t>
  </si>
  <si>
    <t>1/1 clean on fresh worker post-fix (19.6s); reconfirmed stable across every subsequent Phase 1–3 run (no further spinner timeouts logged anywhere in this project)</t>
  </si>
  <si>
    <t>Any shared readiness wait covering a multi-widget page gets a named, documented timeout override point (a parameter), not a silently-doubled global default</t>
  </si>
  <si>
    <t>HEAL-001, HEAL-006, HEAL-010, HEAL-012, HEAL-013, HEAL-014, HEAL-015, HEAL-019, HEAL-023, HEAL-024, HEAL-025</t>
  </si>
  <si>
    <t>HEAL-002</t>
  </si>
  <si>
    <t>N/A — caught before `BasePage.openUserMenu()` was ever exercised by a test</t>
  </si>
  <si>
    <t>Drafted locator used guessed class names never actually observed in the live DOM</t>
  </si>
  <si>
    <t>LOCATOR_DRIFT</t>
  </si>
  <si>
    <t>(pre-emptive) the selector was never drifted from a real DOM, it was never grounded in one to begin with; classified here because the defect class is identical to a locator that has drifted (would resolve to 0 nodes)</t>
  </si>
  <si>
    <t>page (`src/pages/base/BasePage.ts`)</t>
  </si>
  <si>
    <t>Replaced with `getByRole('img', { name: 'profile picture' })` — confirmed present via alt text in every M2/M4 topbar snapshot on file, and independently immune to the topbar's linked employee display name drifting mid-project</t>
  </si>
  <si>
    <t>N/A — no broken version ever ran; correct version verified working across every Phase 1–3 test that logs in (later itself required a further fix, see HEAL-021)</t>
  </si>
  <si>
    <t>No locator ships without being confirmed against a real DOM snapshot or accessibility tree first — zero-invention discipline, held for the rest of the project</t>
  </si>
  <si>
    <t>HEAL-002, HEAL-003, HEAL-004, HEAL-005, HEAL-007, HEAL-008, HEAL-009, HEAL-017, HEAL-018, HEAL-021</t>
  </si>
  <si>
    <t>HEAL-003</t>
  </si>
  <si>
    <t>N/A — caught before `BasePage.breadcrumbText()` was ever exercised by a test</t>
  </si>
  <si>
    <t>Initial locator would also match each screen's own main-content title heading, not only the real breadcrumb</t>
  </si>
  <si>
    <t>(pre-emptive, strict-mode-violation shape) would resolve to 2+ nodes, the exact LOCATOR_DRIFT signature, just caught before it ever executed</t>
  </si>
  <si>
    <t>Scoped to `getByRole('banner')` first, resolving to exactly the topbar's own breadcrumb heading</t>
  </si>
  <si>
    <t>N/A — no broken version ever ran; correct version verified across every navigation-asserting test in Phase 2/NAV (later needed the additional fix in HEAL-019 for a separate, unrelated timing gap)</t>
  </si>
  <si>
    <t>Any locator targeting "the" heading/label/button on a page must be scoped to a specific landmark first, never left to match anywhere in the document</t>
  </si>
  <si>
    <t>TEST_LOGIC</t>
  </si>
  <si>
    <t>HEAL-011, HEAL-016, HEAL-020, HEAL-026</t>
  </si>
  <si>
    <t>HEAL-004</t>
  </si>
  <si>
    <t>N/A — `OxdFileUpload.selectedFileName`, drafted then removed before any test used it</t>
  </si>
  <si>
    <t>Draft locator used a positional XPath axis</t>
  </si>
  <si>
    <t>(policy violation) CLAUDE.md §5.1 forbids positional XPath outright; caught in self-review, not live</t>
  </si>
  <si>
    <t>component (`src/components/OxdFileUpload.ts`)</t>
  </si>
  <si>
    <t>Getter removed entirely rather than shipped in a non-compliant form; no W1 case needed it. A comment was left for whoever adds it later to use a real observed selector</t>
  </si>
  <si>
    <t>N/A — never shipped</t>
  </si>
  <si>
    <t>A draft locator that can't be confirmed against a live DOM inside the same session is deleted, not shipped "to fix later"</t>
  </si>
  <si>
    <t>ENV_INSTABILITY</t>
  </si>
  <si>
    <t>HEAL-022, HEAL-027, HEAL-028, HEAL-029</t>
  </si>
  <si>
    <t>HEAL-005</t>
  </si>
  <si>
    <t>All Phase 2 USR cases (surfaced first on the Add User form build)</t>
  </si>
  <si>
    <t>`labelledContainer()` never matched any field on the Add User form</t>
  </si>
  <si>
    <t>confirmed via direct DOM inspection: the assumed shape (container's own text == label text) was wrong for this form's real markup</t>
  </si>
  <si>
    <t>util (`src/utils/fieldFactory.ts`, `labelledContainer()`)</t>
  </si>
  <si>
    <t>Rescoped to match a `&lt;label&gt;` **descendant's** own exact text, inside `.oxd-input-group` only (CLAUDE.md §5.1's own worked example) — confirmed live to resolve to exactly one match on both the Add form and the search panel</t>
  </si>
  <si>
    <t>3 consecutive clean USR suite runs post-fix (9/9 each)</t>
  </si>
  <si>
    <t>Label-anchored lookups match a `&lt;label&gt;` descendant's own text specifically, never a container's aggregate `textContent`</t>
  </si>
  <si>
    <t>STATE_POLLUTION</t>
  </si>
  <si>
    <t>— (see note)</t>
  </si>
  <si>
    <t>HEAL-006</t>
  </si>
  <si>
    <t>Phase 2 USR cases using `OxdAutocomplete` (Employee Name field)</t>
  </si>
  <si>
    <t>Autocomplete field could silently end up "Invalid" with no exception raised anywhere</t>
  </si>
  <si>
    <t>element exists (the placeholder), and the code clicked it because a genuine intermediate loading state wasn't accounted for, not because a selector was structurally wrong</t>
  </si>
  <si>
    <t>component (`src/components/OxdAutocomplete.ts`)</t>
  </si>
  <si>
    <t>`selectFirstSuggestion()` now also excludes the `"Searching...."` placeholder and reads the input's actual applied value AFTER the click (not a pre-click `textContent()` read) to confirm a real option was applied</t>
  </si>
  <si>
    <t>3 consecutive clean USR suite runs post-fix</t>
  </si>
  <si>
    <t>Any debounced/async suggestion list gets every transient placeholder state enumerated and excluded, not just the empty-result one</t>
  </si>
  <si>
    <t>PRODUCT_BUG</t>
  </si>
  <si>
    <t>HEAL-007</t>
  </si>
  <si>
    <t>TC_ADM_USR_013 (row count), TC_ADM_USR_024 (row action-icon order)</t>
  </si>
  <si>
    <t>Row count assertions off-by-one; a first-row check could receive the header row instead</t>
  </si>
  <si>
    <t>an unscoped `.oxd-table-row` query structurally includes a node it should never include</t>
  </si>
  <si>
    <t>component (`src/components/OxdTable.ts`)</t>
  </si>
  <si>
    <t>New `rows` getter scoped to `.oxd-table-body .oxd-table-row`, excluding the header row entirely</t>
  </si>
  <si>
    <t>3 consecutive clean USR suite runs post-fix; re-confirmed correct on every subsequent screen's table (JOB, QUA, NAT)</t>
  </si>
  <si>
    <t>Any oxd table row lookup is scoped to `.oxd-table-body`, never the bare `.oxd-table`/`.oxd-table-row` class alone</t>
  </si>
  <si>
    <t/>
  </si>
  <si>
    <t>HEAL-008</t>
  </si>
  <si>
    <t>Phase 2 USR cases using the Add button, the delete-confirm dialog, and the bulk-delete toolbar</t>
  </si>
  <si>
    <t>`exact: true` accessible-name matches failed to resolve</t>
  </si>
  <si>
    <t>confirmed via `ariaSnapshot()`: real names are `" Add"`, `" Yes, Delete"`, `" Delete Selected "` — not the clean strings assumed</t>
  </si>
  <si>
    <t>page (per-button getters in the affected page objects)</t>
  </si>
  <si>
    <t>Dropped `exact: true` on these three buttons specifically (substring match); `Save`/`Cancel`/`Search`/`Reset` were independently confirmed clean and left unchanged</t>
  </si>
  <si>
    <t>Never assume `exact: true` is safe on a button containing an icon without confirming its real accessible name via `ariaSnapshot()` first</t>
  </si>
  <si>
    <t>HEAL-009</t>
  </si>
  <si>
    <t>Phase 2 USR cases asserting empty-state / record-count (e.g. TC_ADM_USR_013)</t>
  </si>
  <si>
    <t>Empty-state / record-count assertions matched the wrong element, including a transient toast</t>
  </si>
  <si>
    <t>wrong container assumed for these two states</t>
  </si>
  <si>
    <t>New `listContainer` (`.orangehrm-paper-container`) scope, which includes both real states but excludes the toast</t>
  </si>
  <si>
    <t>Confirm an element's real DOM ancestor via inspection before scoping to an assumed "obvious" parent</t>
  </si>
  <si>
    <t>PRODUCT_BUG is 0 by design, not omission: BUG-001, BUG-002 and BUG-003 were asserted as actual behaviour from the start and never went through the heal cycle (healing_process.md, "Why PRODUCT_BUG is 0"). STATE_POLLUTION: no entry was classified this way.</t>
  </si>
  <si>
    <t>HEAL-010</t>
  </si>
  <si>
    <t>Phase 2 USR cases performing a search/reset then immediately reading the table</t>
  </si>
  <si>
    <t>Table read immediately after a search click could return stale (pre-update) data</t>
  </si>
  <si>
    <t>a real race between the click and the spinner's own mount, not a structural locator issue</t>
  </si>
  <si>
    <t>component (`src/components/OxdTable.ts`, `clickSearch()`/`clickReset()`)</t>
  </si>
  <si>
    <t>Both now wait for either the record-count header or the empty state to actually render (content-based), instead of trusting the spinner-gone check alone; `waitForIdle()` remains a supplementary settle-check, not the sole signal</t>
  </si>
  <si>
    <t>A "spinner gone" check is never trusted as a sole post-click readiness signal when a content-based alternative exists</t>
  </si>
  <si>
    <t>HEAL-011</t>
  </si>
  <si>
    <t>TC_ADM_USR_022 (bulk delete via row checkboxes)</t>
  </si>
  <si>
    <t>Original test design (filter by a shared substring to show two new records at once) could never work</t>
  </si>
  <si>
    <t>the test's own expectation about the app's search semantics was wrong; confirmed directly (exact match only) rather than assumed</t>
  </si>
  <si>
    <t>test (`tests/admin/usr.spec.ts`) + page (`UserManagementPage`, new `goToPageContaining()` helper)</t>
  </si>
  <si>
    <t>Redesigned around the confirmed real behavior: the unfiltered list sorts alphabetically (confirmed live), so two `e2e_&lt;domain&gt;_&lt;...&gt;` users created back to back share a literal prefix and land on the same unfiltered page; `goToPageContaining()` walks the unfiltered, paginated list to find it. Post-delete verification checks each specific username individually rather than an unfiltered total-count delta (which would be vulnerable to concurrent real users on this shared demo)</t>
  </si>
  <si>
    <t>Never assume a filter's match semantics (substring vs. exact) without confirming live; TEST_LOGIC fixes correct the test against confirmed real behavior, never paper over it</t>
  </si>
  <si>
    <t>HEAL-012</t>
  </si>
  <si>
    <t>TC_ADM_JOB_006 (edit an existing Job Titles record, verified by reading the list)</t>
  </si>
  <si>
    <t>Table read on a screen's very first navigation (no search panel involved) could race the initial data fetch</t>
  </si>
  <si>
    <t>same underlying race as HEAL-010, different trigger (initial `goto()` vs. a search click)</t>
  </si>
  <si>
    <t>component (`src/components/OxdTable.ts`, generalized `waitForListRendered()`, renamed from a USR-only private helper)</t>
  </si>
  <si>
    <t>Made the render-wait public and called it from both `JobTitlesPage.goto()` and `UserManagementPage.goto()` (the latter for consistency/future-proofing)</t>
  </si>
  <si>
    <t>2 consecutive clean JOB suite runs; USR re-run after the shared-file change — still 9/9</t>
  </si>
  <si>
    <t>A race diagnosed on one trigger (search) is checked against every other trigger (navigation) that shares the same underlying read, not assumed to be search-specific</t>
  </si>
  <si>
    <t>HEAL-013</t>
  </si>
  <si>
    <t>TC_ADM_JOB_006 (edit form specifically)</t>
  </si>
  <si>
    <t>Edit form field filled with a new value before the old value had actually loaded</t>
  </si>
  <si>
    <t>confirmed by manual reproduction ruling out a product bug; purely an automation-timing gap</t>
  </si>
  <si>
    <t>util (`src/utils/fieldFactory.ts`, new `waitForFieldPopulated()`) — not the page object, which CLAUDE.md keeps assertion-free</t>
  </si>
  <si>
    <t>New general-purpose utility waits for a label-anchored field to hold a non-empty value before the test proceeds to overwrite it. Applied to `JobTitlesPage.openEditByTitle()`; not retrofitted onto `UserManagementPage.openEditByUsername()` since USR had run clean on 3 consecutive suites — noted as a candidate if it's ever observed to flake there</t>
  </si>
  <si>
    <t>2 consecutive clean JOB suite runs post-fix</t>
  </si>
  <si>
    <t>Any edit-form flow that fills over a pre-populated field waits for that field to actually hold data first, not just for the page's generic idle state</t>
  </si>
  <si>
    <t>HEAL-014</t>
  </si>
  <si>
    <t>TC_ADM_NAT_010 (BUG-001 cross-module verification, via PIM Personal Details)</t>
  </si>
  <si>
    <t>A content-based "wait for the field to appear" check could still resolve during the wrong window</t>
  </si>
  <si>
    <t>confirmed via the browser's own network log: the real data-loading call (`GET .../pim/employees/{id}/personal-details`) was still in flight during the false-positive "visible" window</t>
  </si>
  <si>
    <t>page (`NationalitiesPage`'s cross-module PIM step)</t>
  </si>
  <si>
    <t>Switched to a pre-armed `page.waitForResponse()` for that specific endpoint — a precise, deterministic signal, not the banned `networkidle` heuristic (which polls all traffic including analytics) — armed before both the direct-URL navigation and the list-row click that leads to it</t>
  </si>
  <si>
    <t>2 consecutive clean NAT suite runs post-fix</t>
  </si>
  <si>
    <t>When a content-based visibility wait is caught passing during a discarded intermediate render, escalate to a specific network-response wait, never to a broader heuristic like `networkidle`</t>
  </si>
  <si>
    <t>HEAL-015</t>
  </si>
  <si>
    <t>TC_ADM_NAT_010 (PIM Personal Details Save step)</t>
  </si>
  <si>
    <t>Verification reload could run before the save's async request actually completed</t>
  </si>
  <si>
    <t>same general toast-race class as every other save flow in this project, first time observed on this specific cross-module PIM step</t>
  </si>
  <si>
    <t>Pre-armed the success-toast wait (`Promise.all`) before the Save click, rather than trusting `waitForIdle()` alone</t>
  </si>
  <si>
    <t>Every Save action anywhere in the suite pre-arms its toast wait before the triggering click — no exceptions, including cross-module steps outside the Admin page objects proper</t>
  </si>
  <si>
    <t>HEAL-016</t>
  </si>
  <si>
    <t>TC_ADM_ORG_006 (create a Locations record)</t>
  </si>
  <si>
    <t>Save silently blocked, no toast ever appeared</t>
  </si>
  <si>
    <t>the test's own data was incomplete relative to the form's real mandatory-field set, confirmed live rather than assumed from the CSV alone</t>
  </si>
  <si>
    <t>page (`LocationsPage.createLocation()`)</t>
  </si>
  <si>
    <t>Now always selects a Country (default `United States`, overridable) in addition to Name</t>
  </si>
  <si>
    <t>2 consecutive clean ORG suite runs post-fix</t>
  </si>
  <si>
    <t>A CSV's listed Test_Data is a starting point, not a guarantee of completeness — every mandatory field on the real form is confirmed live before a create flow is considered done</t>
  </si>
  <si>
    <t>HEAL-017</t>
  </si>
  <si>
    <t>TC_ADM_ORG_019 (lazy-loaded child nodes expand on demand, Structure)</t>
  </si>
  <si>
    <t>Expand-toggle lookups timed out</t>
  </si>
  <si>
    <t>direct DOM inspection showed the button actually lives in a SIBLING `&lt;span class="oxd-tree-node-toggle"&gt;`, one level up in `.oxd-tree-node-wrapper`; the accessibility tree's shape did not match the real DOM structure</t>
  </si>
  <si>
    <t>component (`src/components/OxdTree.ts`)</t>
  </si>
  <si>
    <t>Rescoped `expandToggle()` to `.oxd-tree-node-wrapper` instead of `.oxd-tree-node-content`</t>
  </si>
  <si>
    <t>An accessibility-tree snapshot's implied nesting is a hint, not a substitute for confirming real DOM structure before scoping a component's locators</t>
  </si>
  <si>
    <t>HEAL-018</t>
  </si>
  <si>
    <t>TC_ADM_JOB_049 (overnight Work Shift time ordering is rejected)</t>
  </si>
  <si>
    <t>Clicking a time-picker radio's own `&lt;label&gt;` text failed</t>
  </si>
  <si>
    <t>(component-specific interaction trap) confirmed this widget's DOM genuinely behaves opposite to every other oxd radio/checkbox observed so far, not a misapplied general rule</t>
  </si>
  <si>
    <t>component (`src/components/OxdTimePicker.ts`)</t>
  </si>
  <si>
    <t>Clicks the AM/PM radio `&lt;input&gt;` directly with `force: true` — the deliberate, documented exception to this project's usual "never force through an interception" posture, because here the interception IS the input intercepting its own label, not an overlay masking a real target; recorded in-code with the reasoning so a future reader doesn't mistake it for a shortcut</t>
  </si>
  <si>
    <t>2 consecutive clean runs of the new JOB_049 case, then the full Phase 2 suite at 47/47</t>
  </si>
  <si>
    <t>A wrapper-click fix that fails with an interception error naming the INPUT (not an icon/overlay) as the intercepting element is evidence of the inverted variant of this trap, not a reason to add `force: true` reflexively elsewhere</t>
  </si>
  <si>
    <t>HEAL-019</t>
  </si>
  <si>
    <t>TC_ADM_NAV_008 (Admin top-tab "User Management" navigates to System Users)</t>
  </si>
  <si>
    <t>`breadcrumbText()` read an empty array</t>
  </si>
  <si>
    <t>the same general race class as HEAL-010/012/013, this time affecting a non-`expect()` helper specifically</t>
  </si>
  <si>
    <t>test (`tests/admin/nav.spec.ts`, call site)</t>
  </si>
  <si>
    <t>Waits for a real breadcrumb heading to be visible (a proper auto-retrying `expect()`) immediately before calling the plain helper, rather than trusting `waitForIdle()` alone</t>
  </si>
  <si>
    <t>2 consecutive clean NAV suite runs, plus a full 45-test combined Phase 2 run</t>
  </si>
  <si>
    <t>Any plain (non-`expect`-wrapped) DOM-reading helper gets an explicit content-based wait immediately before it is called, every time — recognized here as a general pattern applying beyond this one call site</t>
  </si>
  <si>
    <t>HEAL-020</t>
  </si>
  <si>
    <t>TC_ADM_BRD_001 (upload of an unsupported file type — KNOWN DEFECT BUG-002)</t>
  </si>
  <si>
    <t>A banned `waitForTimeout(1000)` sat between the upload action and the assertions</t>
  </si>
  <si>
    <t>(policy) CLAUDE.md explicitly bans `waitForTimeout` regardless of whether it happens to work; a real content-based signal (the already-present `clientLogoFilenameText()` assertion) was available and simply sequenced after the sleep instead of used as the wait itself</t>
  </si>
  <si>
    <t>test (`tests/admin/brd.spec.ts`)</t>
  </si>
  <si>
    <t>Removed the `waitForTimeout(1000)`; reordered so `clientLogoFilenameText()`'s own auto-retrying assertion runs first and serves as the readiness signal, before the `clientLogoError()` count check</t>
  </si>
  <si>
    <t>Passed on all three official Step 2 full-suite runs (4.7s / 4.9s / 6.5s for this specific test across the three runs) — no regression from removing the sleep</t>
  </si>
  <si>
    <t>A passing test is not evidence a banned pattern is safe to keep — `/code-review` checks the pattern itself, not just current green status</t>
  </si>
  <si>
    <t>HEAL-021</t>
  </si>
  <si>
    <t>`BasePage.openUserMenu()`, `LoginPage.logout()`, TC_ADM_NAV_001 (unscoped `getByRole('img', {name:'profile picture'})`, all three call sites)</t>
  </si>
  <si>
    <t>A selector confirmed correct in Phase 1 (HEAL-002) had since become ambiguous</t>
  </si>
  <si>
    <t>environment drift specifically: the live app's own content grew new elements matching a selector that was correct when first confirmed; this is real drift, not an error in the original diagnosis</t>
  </si>
  <si>
    <t>page (`BasePage.ts`, `LoginPage.ts`) + test (`nav.spec.ts`)</t>
  </si>
  <si>
    <t>All three call sites scoped to `getByRole('banner')` first (confirmed to resolve to exactly 1 match), mirroring the same fix pattern already used for `breadcrumbText()` (HEAL-003)</t>
  </si>
  <si>
    <t>Full 47-test suite re-run after the fix: 46/47 (1 unrelated transient failure, see the Step 2 log); every login/logout-touching test passed</t>
  </si>
  <si>
    <t>A selector confirmed correct once against a live demo is not assumed correct permanently — a shared, actively-used demo's own content can grow new matches for an existing selector over the life of a project; re-confirm during any later review, don't just trust the original confirmation</t>
  </si>
  <si>
    <t>HEAL-022</t>
  </si>
  <si>
    <t>TC_ADM_USR_002 (username uniqueness is enforced)</t>
  </si>
  <si>
    <t>First attempt of an official Step 2 full-suite run timed out waiting for the post-save success toast; passed on Playwright's own automatic retry</t>
  </si>
  <si>
    <t>evidence: (1) the failure disappeared completely across 3/3 clean isolated reruns under normal conditions immediately afterward, ruling out a deterministic script defect; (2) the failing run showed a uniform ~2–3x slowdown across unrelated screens and unrelated component code (BRD/CFG/JOB/QUA, not just USR), which a single test's own defect cannot explain; (3) the specific failure is a generic 15s wait-timeout on a Save action already proven reliable everywhere else in the project — consistent with CLAUDE.md §5.3's own documented reality of rate limiting/slowness under load on this shared public demo</t>
  </si>
  <si>
    <t>none — per `heal.md`'s ENV_INSTABILITY branch, no code change is prescribed</t>
  </si>
  <si>
    <t>No code change. Workers were already at the project minimum (1, per this Step 2/3 run's own configuration) so "reduce workers" does not apply further. Recorded here as an accepted environmental risk, not quarantined via `test.skip`/`test.fixme` — the test is not defective, and Playwright's own `retries: 1` config already absorbs exactly this class of transient failure without masking it (the run still correctly reported it as `flaky`, not silently `ok`)</t>
  </si>
  <si>
    <t>3/3 consecutive clean isolated reruns (21.7s / 21.3s / 23.4s) stand in for the "3 consecutive green" requirement, since no code changed to verify — this is the reproduction step itself doubling as the verification that the test's own logic is sound. Official Step 2 runs 1 and 3 (both 47/47, no retries) independently confirm the test passes reliably under normal load</t>
  </si>
  <si>
    <t>A single `flaky`-flagged test in an official multi-run pass, on a suite-wide-slow run, with clean isolated reproduction and no locator/state signature, is diagnosed as ENV_INSTABILITY and recorded, not chased with a code change that would only mask the real cause</t>
  </si>
  <si>
    <t>HEAL-023</t>
  </si>
  <si>
    <t>TC_ADM_USR_013 (search filter Username = Admin returns a consistent result set)</t>
  </si>
  <si>
    <t>CI attempt 1 failed asserting row content immediately after a search; attempt 2 (automatic retry) passed</t>
  </si>
  <si>
    <t>confirmed by the error shape itself: a present-but-empty row is the exact signature of reading a row's cell text before it populates, not of a missing/wrong locator (which would show 0 rows or a thrown "not found", not an empty string) and not of stale/wrong data (which would show a *different* value, not blank)</t>
  </si>
  <si>
    <t>component (`src/components/OxdTable.ts`, `waitForListRendered()`) — generic, benefits every list screen and every caller, not just this test</t>
  </si>
  <si>
    <t>`waitForListRendered()` now additionally polls the first row's own cell text (via the existing `cellTexts()` helper) until at least one cell holds real content, after confirming the header/empty-state — a second, more specific content-based signal on top of the existing one, not a timeout increase. **This introduced a real regression, caught by this project's own full-suite verification step before it shipped — see HEAL-026 for the self-caught bug and its correction.** See HEAL-024/025 for the same fix's effect on the other two symptoms it covers</t>
  </si>
  <si>
    <t>3 consecutive local clean runs of `TC_ADM_USR_013`/`018`/`024` together, then a full local 47-test suite run — which is what surfaced HEAL-026's regression on 3 *other* tests. Final verification (post-HEAL-026 correction): 3 consecutive clean runs of the full `usr.spec.ts` file (9/9 each, 0 retries) plus a full 47-test suite run — see HEAL-026. CI-level confirmation is still pending the next real GitHub Actions trigger</t>
  </si>
  <si>
    <t>A content-based wait that confirms *list state* (has-records vs. empty) is not automatically proof that *row data* has rendered — when a component serves both a "is there anything to read" check and callers that then read row content, the wait must confirm both, and this gap can stay invisible on a fast local machine while a slower/higher-latency CI runner exposes it</t>
  </si>
  <si>
    <t>HEAL-024</t>
  </si>
  <si>
    <t>TC_ADM_USR_018 (edit a system user's role)</t>
  </si>
  <si>
    <t>CI attempt 1 failed on the post-edit verification read; attempt 2 passed</t>
  </si>
  <si>
    <t>same signature and same evidence class as HEAL-023; the `undefined` here is `find()`'s own failure-to-match behavior on the identical empty-cell-text race, not a second, independent defect</t>
  </si>
  <si>
    <t>component (`src/components/OxdTable.ts`, `waitForListRendered()`) — same change as HEAL-023, one fix for both</t>
  </si>
  <si>
    <t>See HEAL-023</t>
  </si>
  <si>
    <t>See HEAL-023 (same combined local verification run)</t>
  </si>
  <si>
    <t>HEAL-025</t>
  </si>
  <si>
    <t>TC_ADM_USR_024 (row action icons are ordered delete-then-edit — FIND-004 regression guard)</t>
  </si>
  <si>
    <t>CI attempt 1 failed reading the first row's action-icon order; attempt 2 passed</t>
  </si>
  <si>
    <t>same underlying race; cell text and action icons mount together as part of the same row's reactive render pass, so a fix that waits for cell text to populate is evidence the whole row (icons included) has finished, not just the text nodes specifically — confirmed by this symptom disappearing under the same fix with no icon-specific change needed</t>
  </si>
  <si>
    <t>component (`src/components/OxdTable.ts`, `waitForListRendered()`) — same change as HEAL-023</t>
  </si>
  <si>
    <t>HEAL-026</t>
  </si>
  <si>
    <t>TC_ADM_USR_003, TC_ADM_USR_020, TC_ADM_USR_022 (all in `usr.spec.ts`) — none of the three tests HEAL-023/024/025 were diagnosed against</t>
  </si>
  <si>
    <t>The full-suite verification run required by `heal.md` §5 after HEAL-023/024/025's fix (mandatory before accepting any heal) came back with 3 *different* tests newly flaky, each failing on a 20s timeout, each also failing its own test-data cleanup with the identical error</t>
  </si>
  <si>
    <t>specifically, a logic defect in the healing fix's own retry predicate (not a new product/timing discovery): the predicate captured a decision ("are rows expected?") outside the retry loop instead of re-evaluating it on every attempt, which is exactly the bug class a `toPass()`-style poll exists to avoid</t>
  </si>
  <si>
    <t>component (`src/components/OxdTable.ts`, `waitForListRendered()`) — same method, corrected</t>
  </si>
  <si>
    <t>Moved the `emptyState` check inside the retried predicate (re-evaluated every attempt, not once before the loop), and added an explicit `firstRow.count() === 0` check with its own distinct error message, so a search settling on genuinely zero results returns immediately on the next poll instead of waiting out the full timeout</t>
  </si>
  <si>
    <t>3 consecutive clean runs of the full `usr.spec.ts` file (9/9 tests each — all 6 tests touched by HEAL-023/024/025 and HEAL-026 combined — 0 retries, ~2.0–2.1 min each), then a full 47-test suite run: 47/47, 0 retries, 7.7 min</t>
  </si>
  <si>
    <t>A `toPass()`/manual-poll predicate must re-derive every piece of state it depends on INSIDE the retried function, every attempt — never check a condition once outside the loop and then assume it still holds on a later attempt. This applies to any future fix in this project written in the same style, not just this one</t>
  </si>
  <si>
    <t>HEAL-027</t>
  </si>
  <si>
    <t>TC_ADM_USR_022 (bulk delete via row checkboxes) — not one of the 5 newly-promoted cases; all 5 of those (`TC_ADM_NAV_003`, `NAV_004`, `TC_ADM_USR_005`, `USR_006`, `USR_007`) passed clean on their first attempt in this same run</t>
  </si>
  <si>
    <t>First attempt of the official 52-test full-suite run timed out waiting for the bulk-delete confirmation's success toast; passed on Playwright's own automatic retry</t>
  </si>
  <si>
    <t>evidence: (1) 3/3 clean in isolation immediately afterward under normal conditions, ruling out a deterministic script defect; (2) a second, unrelated action (a bare post-login navigation check in the cleanup phase) failed in the identical window, which a bug in the bulk-delete/toast code specifically cannot explain — only a broader, transient unresponsiveness can; (3) consistent with CLAUDE.md §5.3's documented reality of rate limiting/slowness under load on this shared public demo, and the same class already established by `HEAL-022` (`TC_ADM_USR_002`)</t>
  </si>
  <si>
    <t>No code change. Workers already at the project minimum (1, this run's own configuration). Recorded here as an accepted environmental risk, not quarantined — the test reproduces cleanly under normal load, and Playwright's own `retries` configuration already absorbed this exact transient failure without masking it (the run correctly reported it as `flaky`, not silently `ok`)</t>
  </si>
  <si>
    <t>3/3 consecutive clean isolated reruns (26.4s / 25.3s / 24.2s) stand in for the "3 consecutive green" requirement, since no code changed to verify. The full 52-test suite (this run) otherwise completed 51/52 clean with only this one flake; no other test in the run showed any timing anomaly</t>
  </si>
  <si>
    <t>Same as `HEAL-022`: a single `flaky`-flagged test in an official run, with clean isolated reproduction, no locator/state signature, and — new corroborating evidence this time — a second, unrelated action failing in the identical window, is diagnosed as ENV_INSTABILITY and recorded, not chased with a code change that would only mask the real cause</t>
  </si>
  <si>
    <t>HEAL-028</t>
  </si>
  <si>
    <t>TC_ADM_QUA_010 (long Description is retained in full on edit)</t>
  </si>
  <si>
    <t>First attempt timed out in the shared page fixture navigating to the dashboard; passed on Playwright's automatic retry</t>
  </si>
  <si>
    <t>evidence: (1) the failure is in a plain authenticated `goto` shared by every test, not in anything specific to this test; (2) two unrelated tests failed back-to-back with the identical signature and duration inside one ~90 s window (16:33:01Z–16:34:28Z), while the tests either side ran at normal speed (QUA_009 11.2 s before; USR_002 20.9 s and USR_003 11.8 s after); (3) `TC_ADM_USR_001`'s passing retry inside the same window still took 30.1 s, against 12.9 s / 15.5 s / 16.9 s in isolation straight afterwards; (4) 3/3 clean isolated reproductions; (5) consistent with CLAUDE.md §5.3 (shared public demo, rate limiting / slowness under load) and the same class as `HEAL-022` and `HEAL-027`</t>
  </si>
  <si>
    <t>No code change. Workers already at 1 for this run. Not quarantined: reproduces cleanly under normal load. Raising the navigation timeout was considered and rejected: it is timeout inflation without a named readiness signal, which `heal.md` forbids, and a blank page after 30 s is a server that is not answering, not a slow-but-progressing load</t>
  </si>
  <si>
    <t>3/3 consecutive clean isolated reruns (see Attempts) stand in for "3 consecutive green", since no code changed. The same full-suite run otherwise completed with 50/52 passing on the first attempt, and this test passed on Playwright's automatic retry, correctly reported as `flaky`, not `ok`</t>
  </si>
  <si>
    <t>A failure inside the shared page fixture's navigation, with a blank-page screenshot, a matching failure in an adjacent unrelated test, and clean isolated reproduction, is ENV_INSTABILITY: record it, do not patch it. Escalation note (`heal.md` §7): this is the 4th ENV_INSTABILITY entry, but each is on a different test and none repeated on the same test, so the "same test heals twice" design-defect trigger is not met. If any single test reaches a second ENV_INSTABILITY entry, stop and review whether its flow is unusually sensitive to demo slowness</t>
  </si>
  <si>
    <t>HEAL-029</t>
  </si>
  <si>
    <t>TC_ADM_USR_001 (add a valid ESS system user)</t>
  </si>
  <si>
    <t>First attempt timed out in the shared page fixture navigating to the dashboard; passed on Playwright's automatic retry, which itself was unusually slow</t>
  </si>
  <si>
    <t>Lessons — the durable rules this project produced</t>
  </si>
  <si>
    <t>Each rule is traced to the incident that produced it (Challenges sheet ids) and to where it is now written down. Where a rule's written source is itself flawed, the row says so.</t>
  </si>
  <si>
    <t>Rule</t>
  </si>
  <si>
    <t>Produced by (incident)</t>
  </si>
  <si>
    <t>Where it is written down</t>
  </si>
  <si>
    <t>Effect so far</t>
  </si>
  <si>
    <t>L-01</t>
  </si>
  <si>
    <t>No expected result enters test design until it has been observed on the live build. Unverified behaviour is written as an observation scenario.</t>
  </si>
  <si>
    <t>CH-01 (FIND-002 password policy), CH-03 to CH-07</t>
  </si>
  <si>
    <t>Constitution Article V; prd.md §13.1</t>
  </si>
  <si>
    <t>Seven PRD requirements corrected before M3; zero assertions encode the invented upper-case rule.</t>
  </si>
  <si>
    <t>L-02</t>
  </si>
  <si>
    <t>Assertions use verbatim strings observed in the product, per flow. When a string has not been observed, observe it rather than assert around the gap.</t>
  </si>
  <si>
    <t>CH-21 ("Successfully Updated"), CH-34 (delete toast)</t>
  </si>
  <si>
    <t>exploration.md Addendum A; test_design.csv USR_018</t>
  </si>
  <si>
    <t>5 weak assertions replaced with verbatim ones.</t>
  </si>
  <si>
    <t>L-03</t>
  </si>
  <si>
    <t>Known defects are asserted as the product's actual behaviour, labelled KNOWN DEFECT with the bug id, so the test fails when the bug is fixed. (Citation to be corrected — see CH-37.)</t>
  </si>
  <si>
    <t>CH-06 (BUG-001), CH-07/CH-18 (BUG-002), CH-17 (BUG-003)</t>
  </si>
  <si>
    <t>prompts_used.md #29 Rule 3</t>
  </si>
  <si>
    <t>3 defect-guard tests in Wave 1.</t>
  </si>
  <si>
    <t>L-04</t>
  </si>
  <si>
    <t>Execution is strictly sequential: one agent, one browser, no concurrency.</t>
  </si>
  <si>
    <t>CH-10 (concurrent batches collided on one browser)</t>
  </si>
  <si>
    <t>prompts_used.md #29</t>
  </si>
  <si>
    <t>Applied to every later M4 and M5 run.</t>
  </si>
  <si>
    <t>L-05</t>
  </si>
  <si>
    <t>Tests assert only on data they created in the same case, with a unique e2e_ suffix, and clean it up; nothing is located by data another user can change.</t>
  </si>
  <si>
    <t>CH-11 (third-party user), CH-12 (data reset)</t>
  </si>
  <si>
    <t>Constitution VI.1; prompts_used.md #29</t>
  </si>
  <si>
    <t>Profile menu located by its accessible name, not the displayed employee name.</t>
  </si>
  <si>
    <t>L-06</t>
  </si>
  <si>
    <t>A tool-level permission denial is a human decision point. Never route around it.</t>
  </si>
  <si>
    <t>CH-13 (CFG_003/004)</t>
  </si>
  <si>
    <t>prompts_used.md #33</t>
  </si>
  <si>
    <t>CFG_003/004 accepted as Blocked in M4, recorded as an environment constraint.</t>
  </si>
  <si>
    <t>L-07</t>
  </si>
  <si>
    <t>After any interruption, reconcile state from disk and run a damage check on the shared demo before resuming. Work not documented to the evidence standard counts as not done.</t>
  </si>
  <si>
    <t>CH-14, CH-15 (rate-limit interruptions), CH-32 (interrupted cascade)</t>
  </si>
  <si>
    <t>04-execution/PROGRESS.md; 05-automation/PROGRESS.md 2026-09-26</t>
  </si>
  <si>
    <t>A lost 22-case batch was re-run in full rather than partly credited.</t>
  </si>
  <si>
    <t>L-08</t>
  </si>
  <si>
    <t>Capacity decisions sequence work into waves; they never reclassify it. Every P0 case is Wave 1, and promoting a case to P0 includes automating it in the same change.</t>
  </si>
  <si>
    <t>CH-16 (136 candidates), CH-32 (5 unautomated P0 cases)</t>
  </si>
  <si>
    <t>test_design_coverage.md §8.5 and "Execution sequencing"</t>
  </si>
  <si>
    <t>0 of 17 P0 cases outside Wave 1.</t>
  </si>
  <si>
    <t>L-09</t>
  </si>
  <si>
    <t>A pass that needs a retry is a healing candidate. Read the raw results, not the green badge.</t>
  </si>
  <si>
    <t>CH-27 (CI-only flake), CH-26, CH-29</t>
  </si>
  <si>
    <t>CLAUDE.md §5.3; final_review.md M2</t>
  </si>
  <si>
    <t>The CI flake was found only by reading the raw JSON artifact.</t>
  </si>
  <si>
    <t>L-10</t>
  </si>
  <si>
    <t>In a retried wait, re-check every condition on every attempt.</t>
  </si>
  <si>
    <t>CH-28 (HEAL-026)</t>
  </si>
  <si>
    <t>healing_process.md HEAL-026 prevention rule</t>
  </si>
  <si>
    <t>The regression that fix introduced was corrected in the same file.</t>
  </si>
  <si>
    <t>L-11</t>
  </si>
  <si>
    <t>A fix is verified only by 3 consecutive green runs of the affected tests plus a full-suite run.</t>
  </si>
  <si>
    <t>CH-28 (HEAL-026 caught only by the full-suite re-run)</t>
  </si>
  <si>
    <t>.claude/commands/heal.md §5</t>
  </si>
  <si>
    <t>Applied to every healing entry.</t>
  </si>
  <si>
    <t>L-12</t>
  </si>
  <si>
    <t>A visible list header does not prove the rows have rendered; wait on the content itself.</t>
  </si>
  <si>
    <t>CH-27 (HEAL-023 to 025)</t>
  </si>
  <si>
    <t>src/components/OxdTable.ts waitForListRendered()</t>
  </si>
  <si>
    <t>Content-based waits across all list screens.</t>
  </si>
  <si>
    <t>L-13</t>
  </si>
  <si>
    <t>An environmental flake is recorded, not patched. No timeout inflation without a named readiness signal. If one test gets a second ENV_INSTABILITY entry, review its flow.</t>
  </si>
  <si>
    <t>CH-26 (HEAL-022), CH-29 (HEAL-028/029)</t>
  </si>
  <si>
    <t>healing_process.md HEAL-028/029 prevention rule; heal.md</t>
  </si>
  <si>
    <t>4 ENV_INSTABILITY entries, 0 code changes, none on a repeated test.</t>
  </si>
  <si>
    <t>L-14</t>
  </si>
  <si>
    <t>Verify locators against the live DOM, even when they come from the project's own authoritative guidance. Scope fields by their &lt;label&gt;.</t>
  </si>
  <si>
    <t>CH-25 (CLAUDE.md's worked example failed on dropdowns)</t>
  </si>
  <si>
    <t>exploration.md §6 "M5 locator corrections"; HEAL-005</t>
  </si>
  <si>
    <t>fieldFactory scopes by the label element.</t>
  </si>
  <si>
    <t>L-15</t>
  </si>
  <si>
    <t>Verify a search filter's semantics before designing a test around it.</t>
  </si>
  <si>
    <t>CH-22 (exact-match Username search)</t>
  </si>
  <si>
    <t>exploration.md §6 M5 note</t>
  </si>
  <si>
    <t>TC_ADM_USR_022 redesigned.</t>
  </si>
  <si>
    <t>L-16</t>
  </si>
  <si>
    <t>CH-30 (45 of 47 Wave 1 tests built)</t>
  </si>
  <si>
    <t>05-automation/PROGRESS.md 2026-09-25 01:40</t>
  </si>
  <si>
    <t>A set-difference check between Wave 1 rows and test titles was run at G5 and after each later change to Wave 1.</t>
  </si>
  <si>
    <t>L-17</t>
  </si>
  <si>
    <t>Review rules are checked mechanically across every file. A class the checklist names is searched for in all its forms.</t>
  </si>
  <si>
    <t>CH-33 (re-review found three missed classes)</t>
  </si>
  <si>
    <t>code_review.md re-review section</t>
  </si>
  <si>
    <t>The re-review's "why missed" section records each gap.</t>
  </si>
  <si>
    <t>L-18</t>
  </si>
  <si>
    <t>Presence checks are count-based and cannot throw. Never convert an error into "absent".</t>
  </si>
  <si>
    <t>CH-33 (.catch(() =&gt; false) swallowed errors)</t>
  </si>
  <si>
    <t>src/components/OxdTable.ts isEmpty() / hasPagination()</t>
  </si>
  <si>
    <t>5 swallowed errors removed.</t>
  </si>
  <si>
    <t>L-19</t>
  </si>
  <si>
    <t>Every official run keeps its raw output on disk, so each log entry traces to its run.</t>
  </si>
  <si>
    <t>CH-35 (HEAL-027 timestamp matched no run)</t>
  </si>
  <si>
    <t>deliverables/05-automation/runs/</t>
  </si>
  <si>
    <t>Two runs now retained with raw output.</t>
  </si>
  <si>
    <t>L-20</t>
  </si>
  <si>
    <t>A test case traces to a user story; a finding id is provenance, not a story.</t>
  </si>
  <si>
    <t>CH-08 (FIND-005 in the Story_ID column)</t>
  </si>
  <si>
    <t>test_design_coverage.md §3; commit 23c3cd9</t>
  </si>
  <si>
    <t>0 orphan test-design rows.</t>
  </si>
  <si>
    <t>L-21</t>
  </si>
  <si>
    <t>A changed figure is cascaded through every artifact that shows it, in the same change; historical records are left as written.</t>
  </si>
  <si>
    <t>CH-36 (stale cross-artifact figures)</t>
  </si>
  <si>
    <t>final_review.md</t>
  </si>
  <si>
    <t>Applied to 47 → 52, 33 → 34 and 26 →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</si>
</sst>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3"/>
      <name val="Arial"/>
    </font>
    <font>
      <i/>
      <color rgb="FF404040"/>
      <sz val="10"/>
      <name val="Arial"/>
    </font>
    <font>
      <b/>
      <color rgb="FFFFFFFF"/>
      <sz val="10"/>
      <name val="Arial"/>
    </font>
    <font>
      <sz val="10"/>
      <name val="Arial"/>
    </font>
    <font>
      <b/>
      <sz val="10"/>
      <name val="Arial"/>
    </font>
    <font>
      <i/>
      <sz val="10"/>
      <name val="Arial"/>
    </font>
  </fonts>
  <fills count="9">
    <fill>
      <patternFill patternType="none"/>
    </fill>
    <fill>
      <patternFill patternType="gray125"/>
    </fill>
    <fill>
      <patternFill patternType="solid">
        <fgColor rgb="FF1F3864"/>
      </patternFill>
    </fill>
    <fill>
      <patternFill patternType="solid">
        <fgColor rgb="FFFCE4D6"/>
      </patternFill>
    </fill>
    <fill>
      <patternFill patternType="solid">
        <fgColor rgb="FFF8CBAD"/>
      </patternFill>
    </fill>
    <fill>
      <patternFill patternType="solid">
        <fgColor rgb="FFE2EFDA"/>
      </patternFill>
    </fill>
    <fill>
      <patternFill patternType="solid">
        <fgColor rgb="FFDDEBF7"/>
      </patternFill>
    </fill>
    <fill>
      <patternFill patternType="solid">
        <fgColor rgb="FFEDE2F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5" fillId="0" borderId="0" xfId="0" applyFont="1"/>
    <xf numFmtId="0" fontId="4" fillId="0" borderId="0" xfId="0" applyFont="1"/>
    <xf numFmtId="0" fontId="5" fillId="0" borderId="1" xfId="0" applyFont="1" applyBorder="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workbookViewId="0">
      <pane xSplit="1" ySplit="3" topLeftCell="B4" activePane="bottomRight" state="frozen"/>
      <selection pane="bottomRight"/>
    </sheetView>
  </sheetViews>
  <sheetFormatPr defaultRowHeight="15" outlineLevelRow="0" outlineLevelCol="0" x14ac:dyDescent="55"/>
  <cols>
    <col min="1" max="1" width="8" customWidth="1"/>
    <col min="2" max="2" width="14" customWidth="1"/>
    <col min="3" max="3" width="16" customWidth="1"/>
    <col min="4" max="4" width="48" customWidth="1"/>
    <col min="5" max="5" width="36" customWidth="1"/>
    <col min="6" max="6" width="40" customWidth="1"/>
    <col min="7" max="7" width="48" customWidth="1"/>
    <col min="8" max="8" width="38" customWidth="1"/>
    <col min="9" max="9" width="36" customWidth="1"/>
  </cols>
  <sheetData>
    <row r="1" spans="1:9" x14ac:dyDescent="0.25">
      <c r="A1" s="1" t="s">
        <v>0</v>
      </c>
      <c r="B1" s="1"/>
      <c r="C1" s="1"/>
      <c r="D1" s="1"/>
      <c r="E1" s="1"/>
      <c r="F1" s="1"/>
      <c r="G1" s="1"/>
      <c r="H1" s="1"/>
      <c r="I1" s="1"/>
    </row>
    <row r="2" ht="44" customHeight="1" spans="1:9" x14ac:dyDescent="0.25">
      <c r="A2" s="2" t="s">
        <v>1</v>
      </c>
      <c r="B2" s="2"/>
      <c r="C2" s="2"/>
      <c r="D2" s="2"/>
      <c r="E2" s="2"/>
      <c r="F2" s="2"/>
      <c r="G2" s="2"/>
      <c r="H2" s="2"/>
      <c r="I2" s="2"/>
    </row>
    <row r="3" ht="30" customHeight="1" spans="1:9" x14ac:dyDescent="0.25">
      <c r="A3" s="3" t="s">
        <v>2</v>
      </c>
      <c r="B3" s="3" t="s">
        <v>3</v>
      </c>
      <c r="C3" s="3" t="s">
        <v>4</v>
      </c>
      <c r="D3" s="3" t="s">
        <v>5</v>
      </c>
      <c r="E3" s="3" t="s">
        <v>6</v>
      </c>
      <c r="F3" s="3" t="s">
        <v>7</v>
      </c>
      <c r="G3" s="3" t="s">
        <v>8</v>
      </c>
      <c r="H3" s="3" t="s">
        <v>9</v>
      </c>
      <c r="I3" s="3" t="s">
        <v>10</v>
      </c>
    </row>
    <row r="4" ht="130" customHeight="1" spans="1:9" x14ac:dyDescent="0.25">
      <c r="A4" s="4" t="s">
        <v>11</v>
      </c>
      <c r="B4" s="4" t="s">
        <v>12</v>
      </c>
      <c r="C4" s="5" t="s">
        <v>13</v>
      </c>
      <c r="D4" s="4" t="s">
        <v>14</v>
      </c>
      <c r="E4" s="4" t="s">
        <v>15</v>
      </c>
      <c r="F4" s="4" t="s">
        <v>16</v>
      </c>
      <c r="G4" s="4" t="s">
        <v>17</v>
      </c>
      <c r="H4" s="4" t="s">
        <v>18</v>
      </c>
      <c r="I4" s="4" t="s">
        <v>19</v>
      </c>
    </row>
    <row r="5" ht="60" customHeight="1" spans="1:9" x14ac:dyDescent="0.25">
      <c r="A5" s="4" t="s">
        <v>20</v>
      </c>
      <c r="B5" s="4" t="s">
        <v>12</v>
      </c>
      <c r="C5" s="5" t="s">
        <v>13</v>
      </c>
      <c r="D5" s="4" t="s">
        <v>21</v>
      </c>
      <c r="E5" s="4" t="s">
        <v>22</v>
      </c>
      <c r="F5" s="4" t="s">
        <v>23</v>
      </c>
      <c r="G5" s="4" t="s">
        <v>24</v>
      </c>
      <c r="H5" s="4" t="s">
        <v>25</v>
      </c>
      <c r="I5" s="4" t="s">
        <v>26</v>
      </c>
    </row>
    <row r="6" ht="88" customHeight="1" spans="1:9" x14ac:dyDescent="0.25">
      <c r="A6" s="4" t="s">
        <v>27</v>
      </c>
      <c r="B6" s="4" t="s">
        <v>12</v>
      </c>
      <c r="C6" s="5" t="s">
        <v>13</v>
      </c>
      <c r="D6" s="4" t="s">
        <v>28</v>
      </c>
      <c r="E6" s="4" t="s">
        <v>29</v>
      </c>
      <c r="F6" s="4" t="s">
        <v>30</v>
      </c>
      <c r="G6" s="4" t="s">
        <v>31</v>
      </c>
      <c r="H6" s="4" t="s">
        <v>32</v>
      </c>
      <c r="I6" s="4" t="s">
        <v>33</v>
      </c>
    </row>
    <row r="7" ht="60" customHeight="1" spans="1:9" x14ac:dyDescent="0.25">
      <c r="A7" s="4" t="s">
        <v>34</v>
      </c>
      <c r="B7" s="4" t="s">
        <v>12</v>
      </c>
      <c r="C7" s="5" t="s">
        <v>13</v>
      </c>
      <c r="D7" s="4" t="s">
        <v>35</v>
      </c>
      <c r="E7" s="4" t="s">
        <v>36</v>
      </c>
      <c r="F7" s="4" t="s">
        <v>37</v>
      </c>
      <c r="G7" s="4" t="s">
        <v>38</v>
      </c>
      <c r="H7" s="4" t="s">
        <v>39</v>
      </c>
      <c r="I7" s="4" t="s">
        <v>40</v>
      </c>
    </row>
    <row r="8" ht="46" customHeight="1" spans="1:9" x14ac:dyDescent="0.25">
      <c r="A8" s="4" t="s">
        <v>41</v>
      </c>
      <c r="B8" s="4" t="s">
        <v>12</v>
      </c>
      <c r="C8" s="5" t="s">
        <v>13</v>
      </c>
      <c r="D8" s="4" t="s">
        <v>42</v>
      </c>
      <c r="E8" s="4" t="s">
        <v>43</v>
      </c>
      <c r="F8" s="4" t="s">
        <v>44</v>
      </c>
      <c r="G8" s="4" t="s">
        <v>45</v>
      </c>
      <c r="H8" s="4" t="s">
        <v>46</v>
      </c>
      <c r="I8" s="4" t="s">
        <v>47</v>
      </c>
    </row>
    <row r="9" ht="74" customHeight="1" spans="1:9" x14ac:dyDescent="0.25">
      <c r="A9" s="4" t="s">
        <v>48</v>
      </c>
      <c r="B9" s="4" t="s">
        <v>12</v>
      </c>
      <c r="C9" s="6" t="s">
        <v>49</v>
      </c>
      <c r="D9" s="4" t="s">
        <v>50</v>
      </c>
      <c r="E9" s="4" t="s">
        <v>51</v>
      </c>
      <c r="F9" s="4" t="s">
        <v>52</v>
      </c>
      <c r="G9" s="4" t="s">
        <v>53</v>
      </c>
      <c r="H9" s="4" t="s">
        <v>54</v>
      </c>
      <c r="I9" s="4" t="s">
        <v>55</v>
      </c>
    </row>
    <row r="10" ht="88" customHeight="1" spans="1:9" x14ac:dyDescent="0.25">
      <c r="A10" s="4" t="s">
        <v>56</v>
      </c>
      <c r="B10" s="4" t="s">
        <v>12</v>
      </c>
      <c r="C10" s="6" t="s">
        <v>49</v>
      </c>
      <c r="D10" s="4" t="s">
        <v>57</v>
      </c>
      <c r="E10" s="4" t="s">
        <v>58</v>
      </c>
      <c r="F10" s="4" t="s">
        <v>59</v>
      </c>
      <c r="G10" s="4" t="s">
        <v>60</v>
      </c>
      <c r="H10" s="4" t="s">
        <v>61</v>
      </c>
      <c r="I10" s="4" t="s">
        <v>62</v>
      </c>
    </row>
    <row r="11" ht="74" customHeight="1" spans="1:9" x14ac:dyDescent="0.25">
      <c r="A11" s="4" t="s">
        <v>63</v>
      </c>
      <c r="B11" s="4" t="s">
        <v>64</v>
      </c>
      <c r="C11" s="5" t="s">
        <v>13</v>
      </c>
      <c r="D11" s="4" t="s">
        <v>65</v>
      </c>
      <c r="E11" s="4" t="s">
        <v>66</v>
      </c>
      <c r="F11" s="4" t="s">
        <v>67</v>
      </c>
      <c r="G11" s="4" t="s">
        <v>68</v>
      </c>
      <c r="H11" s="4" t="s">
        <v>69</v>
      </c>
      <c r="I11" s="4" t="s">
        <v>70</v>
      </c>
    </row>
    <row r="12" ht="88" customHeight="1" spans="1:9" x14ac:dyDescent="0.25">
      <c r="A12" s="4" t="s">
        <v>71</v>
      </c>
      <c r="B12" s="4" t="s">
        <v>72</v>
      </c>
      <c r="C12" s="7" t="s">
        <v>73</v>
      </c>
      <c r="D12" s="4" t="s">
        <v>74</v>
      </c>
      <c r="E12" s="4" t="s">
        <v>75</v>
      </c>
      <c r="F12" s="4" t="s">
        <v>76</v>
      </c>
      <c r="G12" s="4" t="s">
        <v>77</v>
      </c>
      <c r="H12" s="4" t="s">
        <v>78</v>
      </c>
      <c r="I12" s="4" t="s">
        <v>79</v>
      </c>
    </row>
    <row r="13" ht="130" customHeight="1" spans="1:9" x14ac:dyDescent="0.25">
      <c r="A13" s="4" t="s">
        <v>80</v>
      </c>
      <c r="B13" s="4" t="s">
        <v>81</v>
      </c>
      <c r="C13" s="7" t="s">
        <v>73</v>
      </c>
      <c r="D13" s="4" t="s">
        <v>82</v>
      </c>
      <c r="E13" s="4" t="s">
        <v>83</v>
      </c>
      <c r="F13" s="4" t="s">
        <v>84</v>
      </c>
      <c r="G13" s="4" t="s">
        <v>85</v>
      </c>
      <c r="H13" s="4" t="s">
        <v>86</v>
      </c>
      <c r="I13" s="4" t="s">
        <v>87</v>
      </c>
    </row>
    <row r="14" ht="116" customHeight="1" spans="1:9" x14ac:dyDescent="0.25">
      <c r="A14" s="4" t="s">
        <v>88</v>
      </c>
      <c r="B14" s="4" t="s">
        <v>89</v>
      </c>
      <c r="C14" s="8" t="s">
        <v>90</v>
      </c>
      <c r="D14" s="4" t="s">
        <v>91</v>
      </c>
      <c r="E14" s="4" t="s">
        <v>92</v>
      </c>
      <c r="F14" s="4" t="s">
        <v>93</v>
      </c>
      <c r="G14" s="4" t="s">
        <v>94</v>
      </c>
      <c r="H14" s="4" t="s">
        <v>95</v>
      </c>
      <c r="I14" s="4" t="s">
        <v>96</v>
      </c>
    </row>
    <row r="15" ht="60" customHeight="1" spans="1:9" x14ac:dyDescent="0.25">
      <c r="A15" s="4" t="s">
        <v>97</v>
      </c>
      <c r="B15" s="4" t="s">
        <v>98</v>
      </c>
      <c r="C15" s="8" t="s">
        <v>90</v>
      </c>
      <c r="D15" s="4" t="s">
        <v>99</v>
      </c>
      <c r="E15" s="4" t="s">
        <v>100</v>
      </c>
      <c r="F15" s="4" t="s">
        <v>101</v>
      </c>
      <c r="G15" s="4" t="s">
        <v>102</v>
      </c>
      <c r="H15" s="4" t="s">
        <v>103</v>
      </c>
      <c r="I15" s="4" t="s">
        <v>104</v>
      </c>
    </row>
    <row r="16" ht="130" customHeight="1" spans="1:9" x14ac:dyDescent="0.25">
      <c r="A16" s="4" t="s">
        <v>105</v>
      </c>
      <c r="B16" s="4" t="s">
        <v>81</v>
      </c>
      <c r="C16" s="8" t="s">
        <v>90</v>
      </c>
      <c r="D16" s="4" t="s">
        <v>106</v>
      </c>
      <c r="E16" s="4" t="s">
        <v>107</v>
      </c>
      <c r="F16" s="4" t="s">
        <v>108</v>
      </c>
      <c r="G16" s="4" t="s">
        <v>109</v>
      </c>
      <c r="H16" s="4" t="s">
        <v>110</v>
      </c>
      <c r="I16" s="4" t="s">
        <v>111</v>
      </c>
    </row>
    <row r="17" ht="46" customHeight="1" spans="1:9" x14ac:dyDescent="0.25">
      <c r="A17" s="4" t="s">
        <v>112</v>
      </c>
      <c r="B17" s="4" t="s">
        <v>81</v>
      </c>
      <c r="C17" s="9" t="s">
        <v>113</v>
      </c>
      <c r="D17" s="4" t="s">
        <v>114</v>
      </c>
      <c r="E17" s="4" t="s">
        <v>115</v>
      </c>
      <c r="F17" s="4" t="s">
        <v>116</v>
      </c>
      <c r="G17" s="4" t="s">
        <v>117</v>
      </c>
      <c r="H17" s="4" t="s">
        <v>118</v>
      </c>
      <c r="I17" s="4" t="s">
        <v>119</v>
      </c>
    </row>
    <row r="18" ht="74" customHeight="1" spans="1:9" x14ac:dyDescent="0.25">
      <c r="A18" s="4" t="s">
        <v>120</v>
      </c>
      <c r="B18" s="4" t="s">
        <v>81</v>
      </c>
      <c r="C18" s="9" t="s">
        <v>113</v>
      </c>
      <c r="D18" s="4" t="s">
        <v>121</v>
      </c>
      <c r="E18" s="4" t="s">
        <v>122</v>
      </c>
      <c r="F18" s="4" t="s">
        <v>123</v>
      </c>
      <c r="G18" s="4" t="s">
        <v>124</v>
      </c>
      <c r="H18" s="4" t="s">
        <v>125</v>
      </c>
      <c r="I18" s="4" t="s">
        <v>126</v>
      </c>
    </row>
    <row r="19" ht="88" customHeight="1" spans="1:9" x14ac:dyDescent="0.25">
      <c r="A19" s="4" t="s">
        <v>127</v>
      </c>
      <c r="B19" s="4" t="s">
        <v>128</v>
      </c>
      <c r="C19" s="9" t="s">
        <v>113</v>
      </c>
      <c r="D19" s="4" t="s">
        <v>129</v>
      </c>
      <c r="E19" s="4" t="s">
        <v>130</v>
      </c>
      <c r="F19" s="4" t="s">
        <v>131</v>
      </c>
      <c r="G19" s="4" t="s">
        <v>132</v>
      </c>
      <c r="H19" s="4" t="s">
        <v>133</v>
      </c>
      <c r="I19" s="4" t="s">
        <v>134</v>
      </c>
    </row>
    <row r="20" ht="60" customHeight="1" spans="1:9" x14ac:dyDescent="0.25">
      <c r="A20" s="4" t="s">
        <v>135</v>
      </c>
      <c r="B20" s="4" t="s">
        <v>81</v>
      </c>
      <c r="C20" s="6" t="s">
        <v>49</v>
      </c>
      <c r="D20" s="4" t="s">
        <v>136</v>
      </c>
      <c r="E20" s="4" t="s">
        <v>137</v>
      </c>
      <c r="F20" s="4" t="s">
        <v>138</v>
      </c>
      <c r="G20" s="4" t="s">
        <v>139</v>
      </c>
      <c r="H20" s="4" t="s">
        <v>140</v>
      </c>
      <c r="I20" s="4" t="s">
        <v>141</v>
      </c>
    </row>
    <row r="21" ht="60" customHeight="1" spans="1:9" x14ac:dyDescent="0.25">
      <c r="A21" s="4" t="s">
        <v>142</v>
      </c>
      <c r="B21" s="4" t="s">
        <v>81</v>
      </c>
      <c r="C21" s="6" t="s">
        <v>49</v>
      </c>
      <c r="D21" s="4" t="s">
        <v>143</v>
      </c>
      <c r="E21" s="4" t="s">
        <v>144</v>
      </c>
      <c r="F21" s="4" t="s">
        <v>145</v>
      </c>
      <c r="G21" s="4" t="s">
        <v>146</v>
      </c>
      <c r="H21" s="4" t="s">
        <v>147</v>
      </c>
      <c r="I21" s="4" t="s">
        <v>148</v>
      </c>
    </row>
    <row r="22" ht="60" customHeight="1" spans="1:9" x14ac:dyDescent="0.25">
      <c r="A22" s="4" t="s">
        <v>149</v>
      </c>
      <c r="B22" s="4" t="s">
        <v>81</v>
      </c>
      <c r="C22" s="6" t="s">
        <v>49</v>
      </c>
      <c r="D22" s="4" t="s">
        <v>150</v>
      </c>
      <c r="E22" s="4" t="s">
        <v>151</v>
      </c>
      <c r="F22" s="4" t="s">
        <v>152</v>
      </c>
      <c r="G22" s="4" t="s">
        <v>153</v>
      </c>
      <c r="H22" s="4" t="s">
        <v>154</v>
      </c>
      <c r="I22" s="4" t="s">
        <v>155</v>
      </c>
    </row>
    <row r="23" ht="102" customHeight="1" spans="1:9" x14ac:dyDescent="0.25">
      <c r="A23" s="4" t="s">
        <v>156</v>
      </c>
      <c r="B23" s="4" t="s">
        <v>81</v>
      </c>
      <c r="C23" s="6" t="s">
        <v>49</v>
      </c>
      <c r="D23" s="4" t="s">
        <v>157</v>
      </c>
      <c r="E23" s="4" t="s">
        <v>158</v>
      </c>
      <c r="F23" s="4" t="s">
        <v>159</v>
      </c>
      <c r="G23" s="4" t="s">
        <v>160</v>
      </c>
      <c r="H23" s="4" t="s">
        <v>161</v>
      </c>
      <c r="I23" s="4" t="s">
        <v>162</v>
      </c>
    </row>
    <row r="24" ht="46" customHeight="1" spans="1:9" x14ac:dyDescent="0.25">
      <c r="A24" s="4" t="s">
        <v>163</v>
      </c>
      <c r="B24" s="4" t="s">
        <v>98</v>
      </c>
      <c r="C24" s="5" t="s">
        <v>13</v>
      </c>
      <c r="D24" s="4" t="s">
        <v>164</v>
      </c>
      <c r="E24" s="4" t="s">
        <v>165</v>
      </c>
      <c r="F24" s="4" t="s">
        <v>166</v>
      </c>
      <c r="G24" s="4" t="s">
        <v>167</v>
      </c>
      <c r="H24" s="4" t="s">
        <v>168</v>
      </c>
      <c r="I24" s="4" t="s">
        <v>169</v>
      </c>
    </row>
    <row r="25" ht="88" customHeight="1" spans="1:9" x14ac:dyDescent="0.25">
      <c r="A25" s="4" t="s">
        <v>170</v>
      </c>
      <c r="B25" s="4" t="s">
        <v>98</v>
      </c>
      <c r="C25" s="5" t="s">
        <v>13</v>
      </c>
      <c r="D25" s="4" t="s">
        <v>171</v>
      </c>
      <c r="E25" s="4" t="s">
        <v>172</v>
      </c>
      <c r="F25" s="4" t="s">
        <v>173</v>
      </c>
      <c r="G25" s="4" t="s">
        <v>174</v>
      </c>
      <c r="H25" s="4" t="s">
        <v>175</v>
      </c>
      <c r="I25" s="4" t="s">
        <v>176</v>
      </c>
    </row>
    <row r="26" ht="46" customHeight="1" spans="1:9" x14ac:dyDescent="0.25">
      <c r="A26" s="4" t="s">
        <v>177</v>
      </c>
      <c r="B26" s="4" t="s">
        <v>98</v>
      </c>
      <c r="C26" s="5" t="s">
        <v>13</v>
      </c>
      <c r="D26" s="4" t="s">
        <v>178</v>
      </c>
      <c r="E26" s="4" t="s">
        <v>179</v>
      </c>
      <c r="F26" s="4" t="s">
        <v>180</v>
      </c>
      <c r="G26" s="4" t="s">
        <v>181</v>
      </c>
      <c r="H26" s="4" t="s">
        <v>182</v>
      </c>
      <c r="I26" s="4" t="s">
        <v>183</v>
      </c>
    </row>
    <row r="27" ht="46" customHeight="1" spans="1:9" x14ac:dyDescent="0.25">
      <c r="A27" s="4" t="s">
        <v>184</v>
      </c>
      <c r="B27" s="4" t="s">
        <v>98</v>
      </c>
      <c r="C27" s="5" t="s">
        <v>13</v>
      </c>
      <c r="D27" s="4" t="s">
        <v>185</v>
      </c>
      <c r="E27" s="4" t="s">
        <v>186</v>
      </c>
      <c r="F27" s="4" t="s">
        <v>187</v>
      </c>
      <c r="G27" s="4" t="s">
        <v>188</v>
      </c>
      <c r="H27" s="4" t="s">
        <v>189</v>
      </c>
      <c r="I27" s="4" t="s">
        <v>190</v>
      </c>
    </row>
    <row r="28" ht="102" customHeight="1" spans="1:9" x14ac:dyDescent="0.25">
      <c r="A28" s="4" t="s">
        <v>191</v>
      </c>
      <c r="B28" s="4" t="s">
        <v>98</v>
      </c>
      <c r="C28" s="5" t="s">
        <v>13</v>
      </c>
      <c r="D28" s="4" t="s">
        <v>192</v>
      </c>
      <c r="E28" s="4" t="s">
        <v>193</v>
      </c>
      <c r="F28" s="4" t="s">
        <v>194</v>
      </c>
      <c r="G28" s="4" t="s">
        <v>195</v>
      </c>
      <c r="H28" s="4" t="s">
        <v>196</v>
      </c>
      <c r="I28" s="4" t="s">
        <v>197</v>
      </c>
    </row>
    <row r="29" ht="60" customHeight="1" spans="1:9" x14ac:dyDescent="0.25">
      <c r="A29" s="4" t="s">
        <v>198</v>
      </c>
      <c r="B29" s="4" t="s">
        <v>199</v>
      </c>
      <c r="C29" s="10" t="s">
        <v>200</v>
      </c>
      <c r="D29" s="4" t="s">
        <v>201</v>
      </c>
      <c r="E29" s="4" t="s">
        <v>202</v>
      </c>
      <c r="F29" s="4" t="s">
        <v>203</v>
      </c>
      <c r="G29" s="4" t="s">
        <v>204</v>
      </c>
      <c r="H29" s="4" t="s">
        <v>205</v>
      </c>
      <c r="I29" s="4" t="s">
        <v>206</v>
      </c>
    </row>
    <row r="30" ht="102" customHeight="1" spans="1:9" x14ac:dyDescent="0.25">
      <c r="A30" s="4" t="s">
        <v>207</v>
      </c>
      <c r="B30" s="4" t="s">
        <v>208</v>
      </c>
      <c r="C30" s="10" t="s">
        <v>200</v>
      </c>
      <c r="D30" s="4" t="s">
        <v>209</v>
      </c>
      <c r="E30" s="4" t="s">
        <v>210</v>
      </c>
      <c r="F30" s="4" t="s">
        <v>211</v>
      </c>
      <c r="G30" s="4" t="s">
        <v>212</v>
      </c>
      <c r="H30" s="4" t="s">
        <v>213</v>
      </c>
      <c r="I30" s="4" t="s">
        <v>214</v>
      </c>
    </row>
    <row r="31" ht="88" customHeight="1" spans="1:9" x14ac:dyDescent="0.25">
      <c r="A31" s="4" t="s">
        <v>215</v>
      </c>
      <c r="B31" s="4" t="s">
        <v>208</v>
      </c>
      <c r="C31" s="10" t="s">
        <v>200</v>
      </c>
      <c r="D31" s="4" t="s">
        <v>216</v>
      </c>
      <c r="E31" s="4" t="s">
        <v>217</v>
      </c>
      <c r="F31" s="4" t="s">
        <v>218</v>
      </c>
      <c r="G31" s="4" t="s">
        <v>219</v>
      </c>
      <c r="H31" s="4" t="s">
        <v>220</v>
      </c>
      <c r="I31" s="4" t="s">
        <v>221</v>
      </c>
    </row>
    <row r="32" ht="74" customHeight="1" spans="1:9" x14ac:dyDescent="0.25">
      <c r="A32" s="4" t="s">
        <v>222</v>
      </c>
      <c r="B32" s="4" t="s">
        <v>223</v>
      </c>
      <c r="C32" s="10" t="s">
        <v>200</v>
      </c>
      <c r="D32" s="4" t="s">
        <v>224</v>
      </c>
      <c r="E32" s="4" t="s">
        <v>225</v>
      </c>
      <c r="F32" s="4" t="s">
        <v>226</v>
      </c>
      <c r="G32" s="4" t="s">
        <v>227</v>
      </c>
      <c r="H32" s="4" t="s">
        <v>228</v>
      </c>
      <c r="I32" s="4" t="s">
        <v>229</v>
      </c>
    </row>
    <row r="33" ht="88" customHeight="1" spans="1:9" x14ac:dyDescent="0.25">
      <c r="A33" s="4" t="s">
        <v>230</v>
      </c>
      <c r="B33" s="4" t="s">
        <v>231</v>
      </c>
      <c r="C33" s="7" t="s">
        <v>73</v>
      </c>
      <c r="D33" s="4" t="s">
        <v>232</v>
      </c>
      <c r="E33" s="4" t="s">
        <v>233</v>
      </c>
      <c r="F33" s="4" t="s">
        <v>234</v>
      </c>
      <c r="G33" s="4" t="s">
        <v>235</v>
      </c>
      <c r="H33" s="4" t="s">
        <v>236</v>
      </c>
      <c r="I33" s="4" t="s">
        <v>237</v>
      </c>
    </row>
    <row r="34" ht="60" customHeight="1" spans="1:9" x14ac:dyDescent="0.25">
      <c r="A34" s="4" t="s">
        <v>238</v>
      </c>
      <c r="B34" s="4" t="s">
        <v>199</v>
      </c>
      <c r="C34" s="7" t="s">
        <v>73</v>
      </c>
      <c r="D34" s="4" t="s">
        <v>239</v>
      </c>
      <c r="E34" s="4" t="s">
        <v>240</v>
      </c>
      <c r="F34" s="4" t="s">
        <v>241</v>
      </c>
      <c r="G34" s="4" t="s">
        <v>242</v>
      </c>
      <c r="H34" s="4" t="s">
        <v>243</v>
      </c>
      <c r="I34" s="4" t="s">
        <v>244</v>
      </c>
    </row>
    <row r="35" ht="88" customHeight="1" spans="1:9" x14ac:dyDescent="0.25">
      <c r="A35" s="4" t="s">
        <v>245</v>
      </c>
      <c r="B35" s="4" t="s">
        <v>208</v>
      </c>
      <c r="C35" s="7" t="s">
        <v>73</v>
      </c>
      <c r="D35" s="4" t="s">
        <v>246</v>
      </c>
      <c r="E35" s="4" t="s">
        <v>247</v>
      </c>
      <c r="F35" s="4" t="s">
        <v>248</v>
      </c>
      <c r="G35" s="4" t="s">
        <v>249</v>
      </c>
      <c r="H35" s="4" t="s">
        <v>250</v>
      </c>
      <c r="I35" s="4" t="s">
        <v>251</v>
      </c>
    </row>
    <row r="36" ht="88" customHeight="1" spans="1:9" x14ac:dyDescent="0.25">
      <c r="A36" s="4" t="s">
        <v>252</v>
      </c>
      <c r="B36" s="4" t="s">
        <v>223</v>
      </c>
      <c r="C36" s="7" t="s">
        <v>73</v>
      </c>
      <c r="D36" s="4" t="s">
        <v>253</v>
      </c>
      <c r="E36" s="4" t="s">
        <v>254</v>
      </c>
      <c r="F36" s="4" t="s">
        <v>255</v>
      </c>
      <c r="G36" s="4" t="s">
        <v>256</v>
      </c>
      <c r="H36" s="4" t="s">
        <v>257</v>
      </c>
      <c r="I36" s="4" t="s">
        <v>258</v>
      </c>
    </row>
    <row r="37" ht="74" customHeight="1" spans="1:9" x14ac:dyDescent="0.25">
      <c r="A37" s="4" t="s">
        <v>259</v>
      </c>
      <c r="B37" s="4" t="s">
        <v>223</v>
      </c>
      <c r="C37" s="7" t="s">
        <v>73</v>
      </c>
      <c r="D37" s="4" t="s">
        <v>260</v>
      </c>
      <c r="E37" s="4" t="s">
        <v>261</v>
      </c>
      <c r="F37" s="4" t="s">
        <v>262</v>
      </c>
      <c r="G37" s="4" t="s">
        <v>263</v>
      </c>
      <c r="H37" s="4" t="s">
        <v>264</v>
      </c>
      <c r="I37" s="4" t="s">
        <v>265</v>
      </c>
    </row>
    <row r="38" ht="74" customHeight="1" spans="1:9" x14ac:dyDescent="0.25">
      <c r="A38" s="4" t="s">
        <v>266</v>
      </c>
      <c r="B38" s="4" t="s">
        <v>223</v>
      </c>
      <c r="C38" s="7" t="s">
        <v>73</v>
      </c>
      <c r="D38" s="4" t="s">
        <v>267</v>
      </c>
      <c r="E38" s="4" t="s">
        <v>268</v>
      </c>
      <c r="F38" s="4" t="s">
        <v>269</v>
      </c>
      <c r="G38" s="4" t="s">
        <v>270</v>
      </c>
      <c r="H38" s="4" t="s">
        <v>271</v>
      </c>
      <c r="I38" s="4" t="s">
        <v>272</v>
      </c>
    </row>
    <row r="39" ht="60" customHeight="1" spans="1:9" x14ac:dyDescent="0.25">
      <c r="A39" s="4" t="s">
        <v>273</v>
      </c>
      <c r="B39" s="4" t="s">
        <v>208</v>
      </c>
      <c r="C39" s="7" t="s">
        <v>73</v>
      </c>
      <c r="D39" s="4" t="s">
        <v>274</v>
      </c>
      <c r="E39" s="4" t="s">
        <v>275</v>
      </c>
      <c r="F39" s="4" t="s">
        <v>276</v>
      </c>
      <c r="G39" s="4" t="s">
        <v>277</v>
      </c>
      <c r="H39" s="4" t="s">
        <v>278</v>
      </c>
      <c r="I39" s="4" t="s">
        <v>279</v>
      </c>
    </row>
    <row r="40" ht="116" customHeight="1" spans="1:9" x14ac:dyDescent="0.25">
      <c r="A40" s="4" t="s">
        <v>280</v>
      </c>
      <c r="B40" s="4" t="s">
        <v>281</v>
      </c>
      <c r="C40" s="7" t="s">
        <v>73</v>
      </c>
      <c r="D40" s="4" t="s">
        <v>282</v>
      </c>
      <c r="E40" s="4" t="s">
        <v>283</v>
      </c>
      <c r="F40" s="4" t="s">
        <v>284</v>
      </c>
      <c r="G40" s="4" t="s">
        <v>285</v>
      </c>
      <c r="H40" s="4" t="s">
        <v>286</v>
      </c>
      <c r="I40" s="4" t="s">
        <v>287</v>
      </c>
    </row>
    <row r="42" spans="1:2" x14ac:dyDescent="0.25">
      <c r="B42" s="11" t="s">
        <v>288</v>
      </c>
    </row>
    <row r="43" spans="1:3" x14ac:dyDescent="0.25">
      <c r="B43" s="12" t="s">
        <v>13</v>
      </c>
      <c r="C43" s="12">
        <f>COUNTIF($C$4:$C$40,B43)</f>
        <v>11</v>
      </c>
    </row>
    <row r="44" spans="1:3" x14ac:dyDescent="0.25">
      <c r="B44" s="12" t="s">
        <v>49</v>
      </c>
      <c r="C44" s="12">
        <f>COUNTIF($C$4:$C$40,B44)</f>
        <v>6</v>
      </c>
    </row>
    <row r="45" spans="1:3" x14ac:dyDescent="0.25">
      <c r="B45" s="12" t="s">
        <v>200</v>
      </c>
      <c r="C45" s="12">
        <f>COUNTIF($C$4:$C$40,B45)</f>
        <v>4</v>
      </c>
    </row>
    <row r="46" spans="1:3" x14ac:dyDescent="0.25">
      <c r="B46" s="12" t="s">
        <v>90</v>
      </c>
      <c r="C46" s="12">
        <f>COUNTIF($C$4:$C$40,B46)</f>
        <v>3</v>
      </c>
    </row>
    <row r="47" spans="1:3" x14ac:dyDescent="0.25">
      <c r="B47" s="12" t="s">
        <v>73</v>
      </c>
      <c r="C47" s="12">
        <f>COUNTIF($C$4:$C$40,B47)</f>
        <v>10</v>
      </c>
    </row>
    <row r="48" spans="1:3" x14ac:dyDescent="0.25">
      <c r="B48" s="12" t="s">
        <v>113</v>
      </c>
      <c r="C48" s="12">
        <f>COUNTIF($C$4:$C$40,B48)</f>
        <v>3</v>
      </c>
    </row>
    <row r="49" spans="1:3" x14ac:dyDescent="0.25">
      <c r="B49" s="11" t="s">
        <v>289</v>
      </c>
      <c r="C49" s="11">
        <f>SUM(C43:C48)</f>
        <v>37</v>
      </c>
    </row>
  </sheetData>
  <autoFilter ref="A3:I40"/>
  <mergeCells count="2">
    <mergeCell ref="A1:I1"/>
    <mergeCell ref="A2:I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xSplit="1" ySplit="3" topLeftCell="B4" activePane="bottomRight" state="frozen"/>
      <selection pane="bottomRight"/>
    </sheetView>
  </sheetViews>
  <sheetFormatPr defaultRowHeight="15" outlineLevelRow="0" outlineLevelCol="0" x14ac:dyDescent="55"/>
  <cols>
    <col min="1" max="1" width="10" customWidth="1"/>
    <col min="2" max="2" width="14" customWidth="1"/>
    <col min="3" max="3" width="24" customWidth="1"/>
    <col min="4" max="4" width="50" customWidth="1"/>
    <col min="5" max="5" width="38" customWidth="1"/>
    <col min="6" max="6" width="50" customWidth="1"/>
    <col min="7" max="7" width="36" customWidth="1"/>
  </cols>
  <sheetData>
    <row r="1" spans="1:7" x14ac:dyDescent="0.25">
      <c r="A1" s="1" t="s">
        <v>290</v>
      </c>
      <c r="B1" s="1"/>
      <c r="C1" s="1"/>
      <c r="D1" s="1"/>
      <c r="E1" s="1"/>
      <c r="F1" s="1"/>
      <c r="G1" s="1"/>
    </row>
    <row r="2" ht="70" customHeight="1" spans="1:7" x14ac:dyDescent="0.25">
      <c r="A2" s="2" t="s">
        <v>291</v>
      </c>
      <c r="B2" s="2"/>
      <c r="C2" s="2"/>
      <c r="D2" s="2"/>
      <c r="E2" s="2"/>
      <c r="F2" s="2"/>
      <c r="G2" s="2"/>
    </row>
    <row r="3" ht="30" customHeight="1" spans="1:7" x14ac:dyDescent="0.25">
      <c r="A3" s="3" t="s">
        <v>292</v>
      </c>
      <c r="B3" s="3" t="s">
        <v>293</v>
      </c>
      <c r="C3" s="3" t="s">
        <v>294</v>
      </c>
      <c r="D3" s="3" t="s">
        <v>295</v>
      </c>
      <c r="E3" s="3" t="s">
        <v>296</v>
      </c>
      <c r="F3" s="3" t="s">
        <v>297</v>
      </c>
      <c r="G3" s="3" t="s">
        <v>298</v>
      </c>
    </row>
    <row r="4" ht="74" customHeight="1" spans="1:7" x14ac:dyDescent="0.25">
      <c r="A4" s="4" t="s">
        <v>299</v>
      </c>
      <c r="B4" s="4" t="s">
        <v>300</v>
      </c>
      <c r="C4" s="4" t="s">
        <v>301</v>
      </c>
      <c r="D4" s="4" t="s">
        <v>302</v>
      </c>
      <c r="E4" s="4" t="s">
        <v>303</v>
      </c>
      <c r="F4" s="4" t="s">
        <v>304</v>
      </c>
      <c r="G4" s="4" t="s">
        <v>305</v>
      </c>
    </row>
    <row r="5" ht="74" customHeight="1" spans="1:7" x14ac:dyDescent="0.25">
      <c r="A5" s="4" t="s">
        <v>306</v>
      </c>
      <c r="B5" s="4" t="s">
        <v>307</v>
      </c>
      <c r="C5" s="4" t="s">
        <v>308</v>
      </c>
      <c r="D5" s="4" t="s">
        <v>309</v>
      </c>
      <c r="E5" s="4" t="s">
        <v>310</v>
      </c>
      <c r="F5" s="4" t="s">
        <v>311</v>
      </c>
      <c r="G5" s="4" t="s">
        <v>312</v>
      </c>
    </row>
    <row r="6" ht="46" customHeight="1" spans="1:7" x14ac:dyDescent="0.25">
      <c r="A6" s="4" t="s">
        <v>313</v>
      </c>
      <c r="B6" s="4" t="s">
        <v>314</v>
      </c>
      <c r="C6" s="4" t="s">
        <v>315</v>
      </c>
      <c r="D6" s="4" t="s">
        <v>316</v>
      </c>
      <c r="E6" s="4" t="s">
        <v>317</v>
      </c>
      <c r="F6" s="4" t="s">
        <v>318</v>
      </c>
      <c r="G6" s="4" t="s">
        <v>319</v>
      </c>
    </row>
    <row r="7" ht="46" customHeight="1" spans="1:7" x14ac:dyDescent="0.25">
      <c r="A7" s="4" t="s">
        <v>320</v>
      </c>
      <c r="B7" s="4" t="s">
        <v>321</v>
      </c>
      <c r="C7" s="4" t="s">
        <v>322</v>
      </c>
      <c r="D7" s="4" t="s">
        <v>323</v>
      </c>
      <c r="E7" s="4" t="s">
        <v>324</v>
      </c>
      <c r="F7" s="4" t="s">
        <v>325</v>
      </c>
      <c r="G7" s="4" t="s">
        <v>326</v>
      </c>
    </row>
    <row r="8" ht="46" customHeight="1" spans="1:7" x14ac:dyDescent="0.25">
      <c r="A8" s="4" t="s">
        <v>327</v>
      </c>
      <c r="B8" s="4" t="s">
        <v>321</v>
      </c>
      <c r="C8" s="4" t="s">
        <v>328</v>
      </c>
      <c r="D8" s="4" t="s">
        <v>329</v>
      </c>
      <c r="E8" s="4" t="s">
        <v>330</v>
      </c>
      <c r="F8" s="4" t="s">
        <v>331</v>
      </c>
      <c r="G8" s="4" t="s">
        <v>332</v>
      </c>
    </row>
    <row r="9" ht="46" customHeight="1" spans="1:7" x14ac:dyDescent="0.25">
      <c r="A9" s="4" t="s">
        <v>333</v>
      </c>
      <c r="B9" s="4" t="s">
        <v>334</v>
      </c>
      <c r="C9" s="4" t="s">
        <v>335</v>
      </c>
      <c r="D9" s="4" t="s">
        <v>336</v>
      </c>
      <c r="E9" s="4" t="s">
        <v>337</v>
      </c>
      <c r="F9" s="4" t="s">
        <v>338</v>
      </c>
      <c r="G9" s="4" t="s">
        <v>339</v>
      </c>
    </row>
  </sheetData>
  <autoFilter ref="A3:G9"/>
  <mergeCells count="2">
    <mergeCell ref="A1:G1"/>
    <mergeCell ref="A2:G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pane xSplit="1" ySplit="3" topLeftCell="B4" activePane="bottomRight" state="frozen"/>
      <selection pane="bottomRight"/>
    </sheetView>
  </sheetViews>
  <sheetFormatPr defaultRowHeight="15" outlineLevelRow="0" outlineLevelCol="0" x14ac:dyDescent="55"/>
  <cols>
    <col min="1" max="1" width="10" customWidth="1"/>
    <col min="2" max="2" width="30" customWidth="1"/>
    <col min="3" max="3" width="40" customWidth="1"/>
    <col min="4" max="4" width="17" customWidth="1"/>
    <col min="5" max="5" width="55" customWidth="1"/>
    <col min="6" max="6" width="22" customWidth="1"/>
    <col min="7" max="7" width="50" customWidth="1"/>
    <col min="8" max="9" width="45" customWidth="1"/>
    <col min="11" max="11" width="18" customWidth="1"/>
    <col min="12" max="12" width="12" customWidth="1"/>
    <col min="13" max="13" width="44" customWidth="1"/>
    <col min="14" max="14" width="16" customWidth="1"/>
  </cols>
  <sheetData>
    <row r="1" spans="1:9" x14ac:dyDescent="0.25">
      <c r="A1" s="1" t="s">
        <v>340</v>
      </c>
      <c r="B1" s="1"/>
      <c r="C1" s="1"/>
      <c r="D1" s="1"/>
      <c r="E1" s="1"/>
      <c r="F1" s="1"/>
      <c r="G1" s="1"/>
      <c r="H1" s="1"/>
      <c r="I1" s="1"/>
    </row>
    <row r="2" ht="44" customHeight="1" spans="1:9" x14ac:dyDescent="0.25">
      <c r="A2" s="2" t="s">
        <v>341</v>
      </c>
      <c r="B2" s="2"/>
      <c r="C2" s="2"/>
      <c r="D2" s="2"/>
      <c r="E2" s="2"/>
      <c r="F2" s="2"/>
      <c r="G2" s="2"/>
      <c r="H2" s="2"/>
      <c r="I2" s="2"/>
    </row>
    <row r="3" ht="30" customHeight="1" spans="1:15" x14ac:dyDescent="0.25">
      <c r="A3" s="3" t="s">
        <v>342</v>
      </c>
      <c r="B3" s="3" t="s">
        <v>343</v>
      </c>
      <c r="C3" s="3" t="s">
        <v>344</v>
      </c>
      <c r="D3" s="3" t="s">
        <v>345</v>
      </c>
      <c r="E3" s="3" t="s">
        <v>346</v>
      </c>
      <c r="F3" s="3" t="s">
        <v>347</v>
      </c>
      <c r="G3" s="3" t="s">
        <v>348</v>
      </c>
      <c r="H3" s="3" t="s">
        <v>349</v>
      </c>
      <c r="I3" s="3" t="s">
        <v>350</v>
      </c>
      <c r="K3" s="3" t="s">
        <v>345</v>
      </c>
      <c r="L3" s="3" t="s">
        <v>351</v>
      </c>
      <c r="M3" s="3" t="s">
        <v>352</v>
      </c>
      <c r="N3" s="3" t="s">
        <v>353</v>
      </c>
      <c r="O3" s="3" t="s">
        <v>354</v>
      </c>
    </row>
    <row r="4" ht="74" customHeight="1" spans="1:15" x14ac:dyDescent="0.25">
      <c r="A4" s="4" t="s">
        <v>355</v>
      </c>
      <c r="B4" s="4" t="s">
        <v>356</v>
      </c>
      <c r="C4" s="4" t="s">
        <v>357</v>
      </c>
      <c r="D4" s="4" t="s">
        <v>358</v>
      </c>
      <c r="E4" s="4" t="s">
        <v>359</v>
      </c>
      <c r="F4" s="4" t="s">
        <v>360</v>
      </c>
      <c r="G4" s="4" t="s">
        <v>361</v>
      </c>
      <c r="H4" s="4" t="s">
        <v>362</v>
      </c>
      <c r="I4" s="4" t="s">
        <v>363</v>
      </c>
      <c r="K4" s="4" t="s">
        <v>358</v>
      </c>
      <c r="L4" s="4">
        <f>COUNTIF($D$4:$D$32,K4)</f>
        <v>11</v>
      </c>
      <c r="M4" s="4" t="s">
        <v>364</v>
      </c>
      <c r="N4" s="4">
        <v>11</v>
      </c>
      <c r="O4" s="4" t="str">
        <f>IF(L4=N4,"Yes","No")</f>
        <v>Yes</v>
      </c>
    </row>
    <row r="5" ht="60" customHeight="1" spans="1:15" x14ac:dyDescent="0.25">
      <c r="A5" s="4" t="s">
        <v>365</v>
      </c>
      <c r="B5" s="4" t="s">
        <v>366</v>
      </c>
      <c r="C5" s="4" t="s">
        <v>367</v>
      </c>
      <c r="D5" s="4" t="s">
        <v>368</v>
      </c>
      <c r="E5" s="4" t="s">
        <v>369</v>
      </c>
      <c r="F5" s="4" t="s">
        <v>370</v>
      </c>
      <c r="G5" s="4" t="s">
        <v>371</v>
      </c>
      <c r="H5" s="4" t="s">
        <v>372</v>
      </c>
      <c r="I5" s="4" t="s">
        <v>373</v>
      </c>
      <c r="K5" s="4" t="s">
        <v>368</v>
      </c>
      <c r="L5" s="4">
        <f>COUNTIF($D$4:$D$32,K5)</f>
        <v>10</v>
      </c>
      <c r="M5" s="4" t="s">
        <v>374</v>
      </c>
      <c r="N5" s="4">
        <v>10</v>
      </c>
      <c r="O5" s="4" t="str">
        <f>IF(L5=N5,"Yes","No")</f>
        <v>Yes</v>
      </c>
    </row>
    <row r="6" ht="60" customHeight="1" spans="1:15" x14ac:dyDescent="0.25">
      <c r="A6" s="4" t="s">
        <v>375</v>
      </c>
      <c r="B6" s="4" t="s">
        <v>376</v>
      </c>
      <c r="C6" s="4" t="s">
        <v>377</v>
      </c>
      <c r="D6" s="4" t="s">
        <v>368</v>
      </c>
      <c r="E6" s="4" t="s">
        <v>378</v>
      </c>
      <c r="F6" s="4" t="s">
        <v>370</v>
      </c>
      <c r="G6" s="4" t="s">
        <v>379</v>
      </c>
      <c r="H6" s="4" t="s">
        <v>380</v>
      </c>
      <c r="I6" s="4" t="s">
        <v>381</v>
      </c>
      <c r="K6" s="4" t="s">
        <v>382</v>
      </c>
      <c r="L6" s="4">
        <f>COUNTIF($D$4:$D$32,K6)</f>
        <v>4</v>
      </c>
      <c r="M6" s="4" t="s">
        <v>383</v>
      </c>
      <c r="N6" s="4">
        <v>4</v>
      </c>
      <c r="O6" s="4" t="str">
        <f>IF(L6=N6,"Yes","No")</f>
        <v>Yes</v>
      </c>
    </row>
    <row r="7" ht="46" customHeight="1" spans="1:15" x14ac:dyDescent="0.25">
      <c r="A7" s="4" t="s">
        <v>384</v>
      </c>
      <c r="B7" s="4" t="s">
        <v>385</v>
      </c>
      <c r="C7" s="4" t="s">
        <v>386</v>
      </c>
      <c r="D7" s="4" t="s">
        <v>368</v>
      </c>
      <c r="E7" s="4" t="s">
        <v>387</v>
      </c>
      <c r="F7" s="4" t="s">
        <v>388</v>
      </c>
      <c r="G7" s="4" t="s">
        <v>389</v>
      </c>
      <c r="H7" s="4" t="s">
        <v>390</v>
      </c>
      <c r="I7" s="4" t="s">
        <v>391</v>
      </c>
      <c r="K7" s="4" t="s">
        <v>392</v>
      </c>
      <c r="L7" s="4">
        <f>COUNTIF($D$4:$D$32,K7)</f>
        <v>4</v>
      </c>
      <c r="M7" s="4" t="s">
        <v>393</v>
      </c>
      <c r="N7" s="4">
        <v>4</v>
      </c>
      <c r="O7" s="4" t="str">
        <f>IF(L7=N7,"Yes","No")</f>
        <v>Yes</v>
      </c>
    </row>
    <row r="8" ht="60" customHeight="1" spans="1:15" x14ac:dyDescent="0.25">
      <c r="A8" s="4" t="s">
        <v>394</v>
      </c>
      <c r="B8" s="4" t="s">
        <v>395</v>
      </c>
      <c r="C8" s="4" t="s">
        <v>396</v>
      </c>
      <c r="D8" s="4" t="s">
        <v>368</v>
      </c>
      <c r="E8" s="4" t="s">
        <v>397</v>
      </c>
      <c r="F8" s="4" t="s">
        <v>398</v>
      </c>
      <c r="G8" s="4" t="s">
        <v>399</v>
      </c>
      <c r="H8" s="4" t="s">
        <v>400</v>
      </c>
      <c r="I8" s="4" t="s">
        <v>401</v>
      </c>
      <c r="K8" s="4" t="s">
        <v>402</v>
      </c>
      <c r="L8" s="4">
        <f>COUNTIF($D$4:$D$32,K8)</f>
        <v>0</v>
      </c>
      <c r="M8" s="4" t="s">
        <v>403</v>
      </c>
      <c r="N8" s="4">
        <v>0</v>
      </c>
      <c r="O8" s="4" t="str">
        <f>IF(L8=N8,"Yes","No")</f>
        <v>Yes</v>
      </c>
    </row>
    <row r="9" ht="60" customHeight="1" spans="1:15" x14ac:dyDescent="0.25">
      <c r="A9" s="4" t="s">
        <v>404</v>
      </c>
      <c r="B9" s="4" t="s">
        <v>405</v>
      </c>
      <c r="C9" s="4" t="s">
        <v>406</v>
      </c>
      <c r="D9" s="4" t="s">
        <v>358</v>
      </c>
      <c r="E9" s="4" t="s">
        <v>407</v>
      </c>
      <c r="F9" s="4" t="s">
        <v>408</v>
      </c>
      <c r="G9" s="4" t="s">
        <v>409</v>
      </c>
      <c r="H9" s="4" t="s">
        <v>410</v>
      </c>
      <c r="I9" s="4" t="s">
        <v>411</v>
      </c>
      <c r="K9" s="4" t="s">
        <v>412</v>
      </c>
      <c r="L9" s="4">
        <f>COUNTIF($D$4:$D$32,K9)</f>
        <v>0</v>
      </c>
      <c r="M9" s="4" t="s">
        <v>403</v>
      </c>
      <c r="N9" s="4">
        <v>0</v>
      </c>
      <c r="O9" s="4" t="str">
        <f>IF(L9=N9,"Yes","No")</f>
        <v>Yes</v>
      </c>
    </row>
    <row r="10" ht="46" customHeight="1" spans="1:15" x14ac:dyDescent="0.25">
      <c r="A10" s="4" t="s">
        <v>413</v>
      </c>
      <c r="B10" s="4" t="s">
        <v>414</v>
      </c>
      <c r="C10" s="4" t="s">
        <v>415</v>
      </c>
      <c r="D10" s="4" t="s">
        <v>368</v>
      </c>
      <c r="E10" s="4" t="s">
        <v>416</v>
      </c>
      <c r="F10" s="4" t="s">
        <v>417</v>
      </c>
      <c r="G10" s="4" t="s">
        <v>418</v>
      </c>
      <c r="H10" s="4" t="s">
        <v>419</v>
      </c>
      <c r="I10" s="4" t="s">
        <v>420</v>
      </c>
      <c r="K10" s="13" t="s">
        <v>289</v>
      </c>
      <c r="L10" s="13">
        <f>SUM(L4:L9)</f>
        <v>29</v>
      </c>
      <c r="M10" s="13" t="s">
        <v>421</v>
      </c>
      <c r="N10" s="13">
        <f>SUM(N4:N9)</f>
        <v>29</v>
      </c>
      <c r="O10" s="13" t="str">
        <f>IF(L10=N10,"Yes","No")</f>
        <v>Yes</v>
      </c>
    </row>
    <row r="11" ht="46" customHeight="1" spans="1:9" x14ac:dyDescent="0.25">
      <c r="A11" s="4" t="s">
        <v>422</v>
      </c>
      <c r="B11" s="4" t="s">
        <v>423</v>
      </c>
      <c r="C11" s="4" t="s">
        <v>424</v>
      </c>
      <c r="D11" s="4" t="s">
        <v>368</v>
      </c>
      <c r="E11" s="4" t="s">
        <v>425</v>
      </c>
      <c r="F11" s="4" t="s">
        <v>426</v>
      </c>
      <c r="G11" s="4" t="s">
        <v>427</v>
      </c>
      <c r="H11" s="4" t="s">
        <v>410</v>
      </c>
      <c r="I11" s="4" t="s">
        <v>428</v>
      </c>
    </row>
    <row r="12" ht="46" customHeight="1" spans="1:15" x14ac:dyDescent="0.25">
      <c r="A12" s="4" t="s">
        <v>429</v>
      </c>
      <c r="B12" s="4" t="s">
        <v>430</v>
      </c>
      <c r="C12" s="4" t="s">
        <v>431</v>
      </c>
      <c r="D12" s="4" t="s">
        <v>368</v>
      </c>
      <c r="E12" s="4" t="s">
        <v>432</v>
      </c>
      <c r="F12" s="4" t="s">
        <v>417</v>
      </c>
      <c r="G12" s="4" t="s">
        <v>433</v>
      </c>
      <c r="H12" s="4" t="s">
        <v>410</v>
      </c>
      <c r="I12" s="4" t="s">
        <v>434</v>
      </c>
      <c r="K12" s="14" t="s">
        <v>435</v>
      </c>
      <c r="L12" s="14"/>
      <c r="M12" s="14"/>
      <c r="N12" s="14"/>
      <c r="O12" s="14"/>
    </row>
    <row r="13" ht="60" customHeight="1" spans="1:15" x14ac:dyDescent="0.25">
      <c r="A13" s="4" t="s">
        <v>436</v>
      </c>
      <c r="B13" s="4" t="s">
        <v>437</v>
      </c>
      <c r="C13" s="4" t="s">
        <v>438</v>
      </c>
      <c r="D13" s="4" t="s">
        <v>358</v>
      </c>
      <c r="E13" s="4" t="s">
        <v>439</v>
      </c>
      <c r="F13" s="4" t="s">
        <v>440</v>
      </c>
      <c r="G13" s="4" t="s">
        <v>441</v>
      </c>
      <c r="H13" s="4" t="s">
        <v>410</v>
      </c>
      <c r="I13" s="4" t="s">
        <v>442</v>
      </c>
      <c r="K13" s="14"/>
      <c r="L13" s="14"/>
      <c r="M13" s="14"/>
      <c r="N13" s="14"/>
      <c r="O13" s="14"/>
    </row>
    <row r="14" ht="130" customHeight="1" spans="1:15" x14ac:dyDescent="0.25">
      <c r="A14" s="4" t="s">
        <v>443</v>
      </c>
      <c r="B14" s="4" t="s">
        <v>444</v>
      </c>
      <c r="C14" s="4" t="s">
        <v>445</v>
      </c>
      <c r="D14" s="4" t="s">
        <v>382</v>
      </c>
      <c r="E14" s="4" t="s">
        <v>446</v>
      </c>
      <c r="F14" s="4" t="s">
        <v>447</v>
      </c>
      <c r="G14" s="4" t="s">
        <v>448</v>
      </c>
      <c r="H14" s="4" t="s">
        <v>410</v>
      </c>
      <c r="I14" s="4" t="s">
        <v>449</v>
      </c>
      <c r="K14" s="14"/>
      <c r="L14" s="14"/>
      <c r="M14" s="14"/>
      <c r="N14" s="14"/>
      <c r="O14" s="14"/>
    </row>
    <row r="15" ht="74" customHeight="1" spans="1:9" x14ac:dyDescent="0.25">
      <c r="A15" s="4" t="s">
        <v>450</v>
      </c>
      <c r="B15" s="4" t="s">
        <v>451</v>
      </c>
      <c r="C15" s="4" t="s">
        <v>452</v>
      </c>
      <c r="D15" s="4" t="s">
        <v>358</v>
      </c>
      <c r="E15" s="4" t="s">
        <v>453</v>
      </c>
      <c r="F15" s="4" t="s">
        <v>454</v>
      </c>
      <c r="G15" s="4" t="s">
        <v>455</v>
      </c>
      <c r="H15" s="4" t="s">
        <v>456</v>
      </c>
      <c r="I15" s="4" t="s">
        <v>457</v>
      </c>
    </row>
    <row r="16" ht="102" customHeight="1" spans="1:9" x14ac:dyDescent="0.25">
      <c r="A16" s="4" t="s">
        <v>458</v>
      </c>
      <c r="B16" s="4" t="s">
        <v>459</v>
      </c>
      <c r="C16" s="4" t="s">
        <v>460</v>
      </c>
      <c r="D16" s="4" t="s">
        <v>358</v>
      </c>
      <c r="E16" s="4" t="s">
        <v>461</v>
      </c>
      <c r="F16" s="4" t="s">
        <v>462</v>
      </c>
      <c r="G16" s="4" t="s">
        <v>463</v>
      </c>
      <c r="H16" s="4" t="s">
        <v>464</v>
      </c>
      <c r="I16" s="4" t="s">
        <v>465</v>
      </c>
    </row>
    <row r="17" ht="74" customHeight="1" spans="1:9" x14ac:dyDescent="0.25">
      <c r="A17" s="4" t="s">
        <v>466</v>
      </c>
      <c r="B17" s="4" t="s">
        <v>467</v>
      </c>
      <c r="C17" s="4" t="s">
        <v>468</v>
      </c>
      <c r="D17" s="4" t="s">
        <v>358</v>
      </c>
      <c r="E17" s="4" t="s">
        <v>469</v>
      </c>
      <c r="F17" s="4" t="s">
        <v>470</v>
      </c>
      <c r="G17" s="4" t="s">
        <v>471</v>
      </c>
      <c r="H17" s="4" t="s">
        <v>472</v>
      </c>
      <c r="I17" s="4" t="s">
        <v>473</v>
      </c>
    </row>
    <row r="18" ht="60" customHeight="1" spans="1:9" x14ac:dyDescent="0.25">
      <c r="A18" s="4" t="s">
        <v>474</v>
      </c>
      <c r="B18" s="4" t="s">
        <v>475</v>
      </c>
      <c r="C18" s="4" t="s">
        <v>476</v>
      </c>
      <c r="D18" s="4" t="s">
        <v>358</v>
      </c>
      <c r="E18" s="4" t="s">
        <v>477</v>
      </c>
      <c r="F18" s="4" t="s">
        <v>470</v>
      </c>
      <c r="G18" s="4" t="s">
        <v>478</v>
      </c>
      <c r="H18" s="4" t="s">
        <v>472</v>
      </c>
      <c r="I18" s="4" t="s">
        <v>479</v>
      </c>
    </row>
    <row r="19" ht="60" customHeight="1" spans="1:9" x14ac:dyDescent="0.25">
      <c r="A19" s="4" t="s">
        <v>480</v>
      </c>
      <c r="B19" s="4" t="s">
        <v>481</v>
      </c>
      <c r="C19" s="4" t="s">
        <v>482</v>
      </c>
      <c r="D19" s="4" t="s">
        <v>382</v>
      </c>
      <c r="E19" s="4" t="s">
        <v>483</v>
      </c>
      <c r="F19" s="4" t="s">
        <v>484</v>
      </c>
      <c r="G19" s="4" t="s">
        <v>485</v>
      </c>
      <c r="H19" s="4" t="s">
        <v>486</v>
      </c>
      <c r="I19" s="4" t="s">
        <v>487</v>
      </c>
    </row>
    <row r="20" ht="60" customHeight="1" spans="1:9" x14ac:dyDescent="0.25">
      <c r="A20" s="4" t="s">
        <v>488</v>
      </c>
      <c r="B20" s="4" t="s">
        <v>489</v>
      </c>
      <c r="C20" s="4" t="s">
        <v>490</v>
      </c>
      <c r="D20" s="4" t="s">
        <v>368</v>
      </c>
      <c r="E20" s="4" t="s">
        <v>491</v>
      </c>
      <c r="F20" s="4" t="s">
        <v>492</v>
      </c>
      <c r="G20" s="4" t="s">
        <v>493</v>
      </c>
      <c r="H20" s="4" t="s">
        <v>486</v>
      </c>
      <c r="I20" s="4" t="s">
        <v>494</v>
      </c>
    </row>
    <row r="21" ht="102" customHeight="1" spans="1:9" x14ac:dyDescent="0.25">
      <c r="A21" s="4" t="s">
        <v>495</v>
      </c>
      <c r="B21" s="4" t="s">
        <v>496</v>
      </c>
      <c r="C21" s="4" t="s">
        <v>497</v>
      </c>
      <c r="D21" s="4" t="s">
        <v>368</v>
      </c>
      <c r="E21" s="4" t="s">
        <v>498</v>
      </c>
      <c r="F21" s="4" t="s">
        <v>499</v>
      </c>
      <c r="G21" s="4" t="s">
        <v>500</v>
      </c>
      <c r="H21" s="4" t="s">
        <v>501</v>
      </c>
      <c r="I21" s="4" t="s">
        <v>502</v>
      </c>
    </row>
    <row r="22" ht="60" customHeight="1" spans="1:9" x14ac:dyDescent="0.25">
      <c r="A22" s="4" t="s">
        <v>503</v>
      </c>
      <c r="B22" s="4" t="s">
        <v>504</v>
      </c>
      <c r="C22" s="4" t="s">
        <v>505</v>
      </c>
      <c r="D22" s="4" t="s">
        <v>358</v>
      </c>
      <c r="E22" s="4" t="s">
        <v>506</v>
      </c>
      <c r="F22" s="4" t="s">
        <v>507</v>
      </c>
      <c r="G22" s="4" t="s">
        <v>508</v>
      </c>
      <c r="H22" s="4" t="s">
        <v>509</v>
      </c>
      <c r="I22" s="4" t="s">
        <v>510</v>
      </c>
    </row>
    <row r="23" ht="74" customHeight="1" spans="1:9" x14ac:dyDescent="0.25">
      <c r="A23" s="4" t="s">
        <v>511</v>
      </c>
      <c r="B23" s="4" t="s">
        <v>512</v>
      </c>
      <c r="C23" s="4" t="s">
        <v>513</v>
      </c>
      <c r="D23" s="4" t="s">
        <v>382</v>
      </c>
      <c r="E23" s="4" t="s">
        <v>514</v>
      </c>
      <c r="F23" s="4" t="s">
        <v>515</v>
      </c>
      <c r="G23" s="4" t="s">
        <v>516</v>
      </c>
      <c r="H23" s="4" t="s">
        <v>517</v>
      </c>
      <c r="I23" s="4" t="s">
        <v>518</v>
      </c>
    </row>
    <row r="24" ht="88" customHeight="1" spans="1:9" x14ac:dyDescent="0.25">
      <c r="A24" s="4" t="s">
        <v>519</v>
      </c>
      <c r="B24" s="4" t="s">
        <v>520</v>
      </c>
      <c r="C24" s="4" t="s">
        <v>521</v>
      </c>
      <c r="D24" s="4" t="s">
        <v>368</v>
      </c>
      <c r="E24" s="4" t="s">
        <v>522</v>
      </c>
      <c r="F24" s="4" t="s">
        <v>523</v>
      </c>
      <c r="G24" s="4" t="s">
        <v>524</v>
      </c>
      <c r="H24" s="4" t="s">
        <v>525</v>
      </c>
      <c r="I24" s="4" t="s">
        <v>526</v>
      </c>
    </row>
    <row r="25" ht="144" customHeight="1" spans="1:9" x14ac:dyDescent="0.25">
      <c r="A25" s="4" t="s">
        <v>527</v>
      </c>
      <c r="B25" s="4" t="s">
        <v>528</v>
      </c>
      <c r="C25" s="4" t="s">
        <v>529</v>
      </c>
      <c r="D25" s="4" t="s">
        <v>392</v>
      </c>
      <c r="E25" s="4" t="s">
        <v>530</v>
      </c>
      <c r="F25" s="4" t="s">
        <v>531</v>
      </c>
      <c r="G25" s="4" t="s">
        <v>532</v>
      </c>
      <c r="H25" s="4" t="s">
        <v>533</v>
      </c>
      <c r="I25" s="4" t="s">
        <v>534</v>
      </c>
    </row>
    <row r="26" ht="144" customHeight="1" spans="1:9" x14ac:dyDescent="0.25">
      <c r="A26" s="4" t="s">
        <v>535</v>
      </c>
      <c r="B26" s="4" t="s">
        <v>536</v>
      </c>
      <c r="C26" s="4" t="s">
        <v>537</v>
      </c>
      <c r="D26" s="4" t="s">
        <v>358</v>
      </c>
      <c r="E26" s="4" t="s">
        <v>538</v>
      </c>
      <c r="F26" s="4" t="s">
        <v>539</v>
      </c>
      <c r="G26" s="4" t="s">
        <v>540</v>
      </c>
      <c r="H26" s="4" t="s">
        <v>541</v>
      </c>
      <c r="I26" s="4" t="s">
        <v>542</v>
      </c>
    </row>
    <row r="27" ht="74" customHeight="1" spans="1:9" x14ac:dyDescent="0.25">
      <c r="A27" s="4" t="s">
        <v>543</v>
      </c>
      <c r="B27" s="4" t="s">
        <v>544</v>
      </c>
      <c r="C27" s="4" t="s">
        <v>545</v>
      </c>
      <c r="D27" s="4" t="s">
        <v>358</v>
      </c>
      <c r="E27" s="4" t="s">
        <v>546</v>
      </c>
      <c r="F27" s="4" t="s">
        <v>547</v>
      </c>
      <c r="G27" s="4" t="s">
        <v>548</v>
      </c>
      <c r="H27" s="4" t="s">
        <v>549</v>
      </c>
      <c r="I27" s="4" t="s">
        <v>548</v>
      </c>
    </row>
    <row r="28" ht="88" customHeight="1" spans="1:9" x14ac:dyDescent="0.25">
      <c r="A28" s="4" t="s">
        <v>550</v>
      </c>
      <c r="B28" s="4" t="s">
        <v>551</v>
      </c>
      <c r="C28" s="4" t="s">
        <v>552</v>
      </c>
      <c r="D28" s="4" t="s">
        <v>358</v>
      </c>
      <c r="E28" s="4" t="s">
        <v>553</v>
      </c>
      <c r="F28" s="4" t="s">
        <v>554</v>
      </c>
      <c r="G28" s="4" t="s">
        <v>548</v>
      </c>
      <c r="H28" s="4" t="s">
        <v>549</v>
      </c>
      <c r="I28" s="4" t="s">
        <v>548</v>
      </c>
    </row>
    <row r="29" ht="102" customHeight="1" spans="1:9" x14ac:dyDescent="0.25">
      <c r="A29" s="4" t="s">
        <v>555</v>
      </c>
      <c r="B29" s="4" t="s">
        <v>556</v>
      </c>
      <c r="C29" s="4" t="s">
        <v>557</v>
      </c>
      <c r="D29" s="4" t="s">
        <v>382</v>
      </c>
      <c r="E29" s="4" t="s">
        <v>558</v>
      </c>
      <c r="F29" s="4" t="s">
        <v>559</v>
      </c>
      <c r="G29" s="4" t="s">
        <v>560</v>
      </c>
      <c r="H29" s="4" t="s">
        <v>561</v>
      </c>
      <c r="I29" s="4" t="s">
        <v>562</v>
      </c>
    </row>
    <row r="30" ht="130" customHeight="1" spans="1:9" x14ac:dyDescent="0.25">
      <c r="A30" s="4" t="s">
        <v>563</v>
      </c>
      <c r="B30" s="4" t="s">
        <v>564</v>
      </c>
      <c r="C30" s="4" t="s">
        <v>565</v>
      </c>
      <c r="D30" s="4" t="s">
        <v>392</v>
      </c>
      <c r="E30" s="4" t="s">
        <v>566</v>
      </c>
      <c r="F30" s="4" t="s">
        <v>531</v>
      </c>
      <c r="G30" s="4" t="s">
        <v>567</v>
      </c>
      <c r="H30" s="4" t="s">
        <v>568</v>
      </c>
      <c r="I30" s="4" t="s">
        <v>569</v>
      </c>
    </row>
    <row r="31" ht="158" customHeight="1" spans="1:9" x14ac:dyDescent="0.25">
      <c r="A31" s="4" t="s">
        <v>570</v>
      </c>
      <c r="B31" s="4" t="s">
        <v>571</v>
      </c>
      <c r="C31" s="4" t="s">
        <v>572</v>
      </c>
      <c r="D31" s="4" t="s">
        <v>392</v>
      </c>
      <c r="E31" s="4" t="s">
        <v>573</v>
      </c>
      <c r="F31" s="4" t="s">
        <v>531</v>
      </c>
      <c r="G31" s="4" t="s">
        <v>574</v>
      </c>
      <c r="H31" s="4" t="s">
        <v>575</v>
      </c>
      <c r="I31" s="4" t="s">
        <v>576</v>
      </c>
    </row>
    <row r="32" ht="158" customHeight="1" spans="1:9" x14ac:dyDescent="0.25">
      <c r="A32" s="4" t="s">
        <v>577</v>
      </c>
      <c r="B32" s="4" t="s">
        <v>578</v>
      </c>
      <c r="C32" s="4" t="s">
        <v>579</v>
      </c>
      <c r="D32" s="4" t="s">
        <v>392</v>
      </c>
      <c r="E32" s="4" t="s">
        <v>573</v>
      </c>
      <c r="F32" s="4" t="s">
        <v>531</v>
      </c>
      <c r="G32" s="4" t="s">
        <v>574</v>
      </c>
      <c r="H32" s="4" t="s">
        <v>575</v>
      </c>
      <c r="I32" s="4" t="s">
        <v>576</v>
      </c>
    </row>
  </sheetData>
  <autoFilter ref="A3:I32"/>
  <mergeCells count="3">
    <mergeCell ref="A1:I1"/>
    <mergeCell ref="A2:I2"/>
    <mergeCell ref="K12:O1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pane xSplit="1" ySplit="3" topLeftCell="B4" activePane="bottomRight" state="frozen"/>
      <selection pane="bottomRight"/>
    </sheetView>
  </sheetViews>
  <sheetFormatPr defaultRowHeight="15" outlineLevelRow="0" outlineLevelCol="0" x14ac:dyDescent="55"/>
  <cols>
    <col min="1" max="1" width="7" customWidth="1"/>
    <col min="2" max="2" width="60" customWidth="1"/>
    <col min="3" max="3" width="34" customWidth="1"/>
    <col min="4" max="5" width="38" customWidth="1"/>
  </cols>
  <sheetData>
    <row r="1" spans="1:5" x14ac:dyDescent="0.25">
      <c r="A1" s="1" t="s">
        <v>580</v>
      </c>
      <c r="B1" s="1"/>
      <c r="C1" s="1"/>
      <c r="D1" s="1"/>
      <c r="E1" s="1"/>
    </row>
    <row r="2" ht="44" customHeight="1" spans="1:5" x14ac:dyDescent="0.25">
      <c r="A2" s="2" t="s">
        <v>581</v>
      </c>
      <c r="B2" s="2"/>
      <c r="C2" s="2"/>
      <c r="D2" s="2"/>
      <c r="E2" s="2"/>
    </row>
    <row r="3" ht="30" customHeight="1" spans="1:5" x14ac:dyDescent="0.25">
      <c r="A3" s="3" t="s">
        <v>2</v>
      </c>
      <c r="B3" s="3" t="s">
        <v>582</v>
      </c>
      <c r="C3" s="3" t="s">
        <v>583</v>
      </c>
      <c r="D3" s="3" t="s">
        <v>584</v>
      </c>
      <c r="E3" s="3" t="s">
        <v>585</v>
      </c>
    </row>
    <row r="4" ht="46" customHeight="1" spans="1:5" x14ac:dyDescent="0.25">
      <c r="A4" s="4" t="s">
        <v>586</v>
      </c>
      <c r="B4" s="4" t="s">
        <v>587</v>
      </c>
      <c r="C4" s="4" t="s">
        <v>588</v>
      </c>
      <c r="D4" s="4" t="s">
        <v>589</v>
      </c>
      <c r="E4" s="4" t="s">
        <v>590</v>
      </c>
    </row>
    <row r="5" ht="46" customHeight="1" spans="1:5" x14ac:dyDescent="0.25">
      <c r="A5" s="4" t="s">
        <v>591</v>
      </c>
      <c r="B5" s="4" t="s">
        <v>592</v>
      </c>
      <c r="C5" s="4" t="s">
        <v>593</v>
      </c>
      <c r="D5" s="4" t="s">
        <v>594</v>
      </c>
      <c r="E5" s="4" t="s">
        <v>595</v>
      </c>
    </row>
    <row r="6" ht="46" customHeight="1" spans="1:5" x14ac:dyDescent="0.25">
      <c r="A6" s="4" t="s">
        <v>596</v>
      </c>
      <c r="B6" s="4" t="s">
        <v>597</v>
      </c>
      <c r="C6" s="4" t="s">
        <v>598</v>
      </c>
      <c r="D6" s="4" t="s">
        <v>599</v>
      </c>
      <c r="E6" s="4" t="s">
        <v>600</v>
      </c>
    </row>
    <row r="7" ht="32" customHeight="1" spans="1:5" x14ac:dyDescent="0.25">
      <c r="A7" s="4" t="s">
        <v>601</v>
      </c>
      <c r="B7" s="4" t="s">
        <v>602</v>
      </c>
      <c r="C7" s="4" t="s">
        <v>603</v>
      </c>
      <c r="D7" s="4" t="s">
        <v>604</v>
      </c>
      <c r="E7" s="4" t="s">
        <v>605</v>
      </c>
    </row>
    <row r="8" ht="46" customHeight="1" spans="1:5" x14ac:dyDescent="0.25">
      <c r="A8" s="4" t="s">
        <v>606</v>
      </c>
      <c r="B8" s="4" t="s">
        <v>607</v>
      </c>
      <c r="C8" s="4" t="s">
        <v>608</v>
      </c>
      <c r="D8" s="4" t="s">
        <v>609</v>
      </c>
      <c r="E8" s="4" t="s">
        <v>610</v>
      </c>
    </row>
    <row r="9" ht="32" customHeight="1" spans="1:5" x14ac:dyDescent="0.25">
      <c r="A9" s="4" t="s">
        <v>611</v>
      </c>
      <c r="B9" s="4" t="s">
        <v>612</v>
      </c>
      <c r="C9" s="4" t="s">
        <v>613</v>
      </c>
      <c r="D9" s="4" t="s">
        <v>614</v>
      </c>
      <c r="E9" s="4" t="s">
        <v>615</v>
      </c>
    </row>
    <row r="10" ht="46" customHeight="1" spans="1:5" x14ac:dyDescent="0.25">
      <c r="A10" s="4" t="s">
        <v>616</v>
      </c>
      <c r="B10" s="4" t="s">
        <v>617</v>
      </c>
      <c r="C10" s="4" t="s">
        <v>618</v>
      </c>
      <c r="D10" s="4" t="s">
        <v>619</v>
      </c>
      <c r="E10" s="4" t="s">
        <v>620</v>
      </c>
    </row>
    <row r="11" ht="46" customHeight="1" spans="1:5" x14ac:dyDescent="0.25">
      <c r="A11" s="4" t="s">
        <v>621</v>
      </c>
      <c r="B11" s="4" t="s">
        <v>622</v>
      </c>
      <c r="C11" s="4" t="s">
        <v>623</v>
      </c>
      <c r="D11" s="4" t="s">
        <v>624</v>
      </c>
      <c r="E11" s="4" t="s">
        <v>625</v>
      </c>
    </row>
    <row r="12" ht="32" customHeight="1" spans="1:5" x14ac:dyDescent="0.25">
      <c r="A12" s="4" t="s">
        <v>626</v>
      </c>
      <c r="B12" s="4" t="s">
        <v>627</v>
      </c>
      <c r="C12" s="4" t="s">
        <v>628</v>
      </c>
      <c r="D12" s="4" t="s">
        <v>629</v>
      </c>
      <c r="E12" s="4" t="s">
        <v>630</v>
      </c>
    </row>
    <row r="13" ht="32" customHeight="1" spans="1:5" x14ac:dyDescent="0.25">
      <c r="A13" s="4" t="s">
        <v>631</v>
      </c>
      <c r="B13" s="4" t="s">
        <v>632</v>
      </c>
      <c r="C13" s="4" t="s">
        <v>633</v>
      </c>
      <c r="D13" s="4" t="s">
        <v>634</v>
      </c>
      <c r="E13" s="4" t="s">
        <v>635</v>
      </c>
    </row>
    <row r="14" ht="32" customHeight="1" spans="1:5" x14ac:dyDescent="0.25">
      <c r="A14" s="4" t="s">
        <v>636</v>
      </c>
      <c r="B14" s="4" t="s">
        <v>637</v>
      </c>
      <c r="C14" s="4" t="s">
        <v>638</v>
      </c>
      <c r="D14" s="4" t="s">
        <v>639</v>
      </c>
      <c r="E14" s="4" t="s">
        <v>640</v>
      </c>
    </row>
    <row r="15" ht="32" customHeight="1" spans="1:5" x14ac:dyDescent="0.25">
      <c r="A15" s="4" t="s">
        <v>641</v>
      </c>
      <c r="B15" s="4" t="s">
        <v>642</v>
      </c>
      <c r="C15" s="4" t="s">
        <v>643</v>
      </c>
      <c r="D15" s="4" t="s">
        <v>644</v>
      </c>
      <c r="E15" s="4" t="s">
        <v>645</v>
      </c>
    </row>
    <row r="16" ht="46" customHeight="1" spans="1:5" x14ac:dyDescent="0.25">
      <c r="A16" s="4" t="s">
        <v>646</v>
      </c>
      <c r="B16" s="4" t="s">
        <v>647</v>
      </c>
      <c r="C16" s="4" t="s">
        <v>648</v>
      </c>
      <c r="D16" s="4" t="s">
        <v>649</v>
      </c>
      <c r="E16" s="4" t="s">
        <v>650</v>
      </c>
    </row>
    <row r="17" ht="32" customHeight="1" spans="1:5" x14ac:dyDescent="0.25">
      <c r="A17" s="4" t="s">
        <v>651</v>
      </c>
      <c r="B17" s="4" t="s">
        <v>652</v>
      </c>
      <c r="C17" s="4" t="s">
        <v>653</v>
      </c>
      <c r="D17" s="4" t="s">
        <v>654</v>
      </c>
      <c r="E17" s="4" t="s">
        <v>655</v>
      </c>
    </row>
    <row r="18" ht="18" customHeight="1" spans="1:5" x14ac:dyDescent="0.25">
      <c r="A18" s="4" t="s">
        <v>656</v>
      </c>
      <c r="B18" s="4" t="s">
        <v>657</v>
      </c>
      <c r="C18" s="4" t="s">
        <v>658</v>
      </c>
      <c r="D18" s="4" t="s">
        <v>659</v>
      </c>
      <c r="E18" s="4" t="s">
        <v>660</v>
      </c>
    </row>
    <row r="19" ht="46" customHeight="1" spans="1:5" x14ac:dyDescent="0.25">
      <c r="A19" s="4" t="s">
        <v>661</v>
      </c>
      <c r="B19" s="4" t="s">
        <v>237</v>
      </c>
      <c r="C19" s="4" t="s">
        <v>662</v>
      </c>
      <c r="D19" s="4" t="s">
        <v>663</v>
      </c>
      <c r="E19" s="4" t="s">
        <v>664</v>
      </c>
    </row>
    <row r="20" ht="32" customHeight="1" spans="1:5" x14ac:dyDescent="0.25">
      <c r="A20" s="4" t="s">
        <v>665</v>
      </c>
      <c r="B20" s="4" t="s">
        <v>666</v>
      </c>
      <c r="C20" s="4" t="s">
        <v>667</v>
      </c>
      <c r="D20" s="4" t="s">
        <v>668</v>
      </c>
      <c r="E20" s="4" t="s">
        <v>669</v>
      </c>
    </row>
    <row r="21" ht="32" customHeight="1" spans="1:5" x14ac:dyDescent="0.25">
      <c r="A21" s="4" t="s">
        <v>670</v>
      </c>
      <c r="B21" s="4" t="s">
        <v>671</v>
      </c>
      <c r="C21" s="4" t="s">
        <v>672</v>
      </c>
      <c r="D21" s="4" t="s">
        <v>673</v>
      </c>
      <c r="E21" s="4" t="s">
        <v>674</v>
      </c>
    </row>
    <row r="22" ht="32" customHeight="1" spans="1:5" x14ac:dyDescent="0.25">
      <c r="A22" s="4" t="s">
        <v>675</v>
      </c>
      <c r="B22" s="4" t="s">
        <v>676</v>
      </c>
      <c r="C22" s="4" t="s">
        <v>677</v>
      </c>
      <c r="D22" s="4" t="s">
        <v>678</v>
      </c>
      <c r="E22" s="4" t="s">
        <v>679</v>
      </c>
    </row>
    <row r="23" ht="32" customHeight="1" spans="1:5" x14ac:dyDescent="0.25">
      <c r="A23" s="4" t="s">
        <v>680</v>
      </c>
      <c r="B23" s="4" t="s">
        <v>681</v>
      </c>
      <c r="C23" s="4" t="s">
        <v>682</v>
      </c>
      <c r="D23" s="4" t="s">
        <v>683</v>
      </c>
      <c r="E23" s="4" t="s">
        <v>684</v>
      </c>
    </row>
    <row r="24" ht="32" customHeight="1" spans="1:5" x14ac:dyDescent="0.25">
      <c r="A24" s="4" t="s">
        <v>685</v>
      </c>
      <c r="B24" s="4" t="s">
        <v>686</v>
      </c>
      <c r="C24" s="4" t="s">
        <v>687</v>
      </c>
      <c r="D24" s="4" t="s">
        <v>688</v>
      </c>
      <c r="E24" s="4" t="s">
        <v>689</v>
      </c>
    </row>
  </sheetData>
  <autoFilter ref="A3:E24"/>
  <mergeCells count="2">
    <mergeCell ref="A1:E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Challenges</vt:lpstr>
      <vt:lpstr>Defect-driven test cases</vt:lpstr>
      <vt:lpstr>Healing log</vt:lpstr>
      <vt:lpstr>Lessons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 lead (OrangeHRM Admin UI QA)</dc:creator>
  <dc:title/>
  <dc:subject/>
  <dc:description/>
  <cp:keywords/>
  <cp:category/>
  <cp:lastModifiedBy>Unknown</cp:lastModifiedBy>
  <dcterms:created xsi:type="dcterms:W3CDTF">2026-09-26T19:37:52Z</dcterms:created>
  <dcterms:modified xsi:type="dcterms:W3CDTF">2026-09-26T19:37:52Z</dcterms:modified>
</cp:coreProperties>
</file>